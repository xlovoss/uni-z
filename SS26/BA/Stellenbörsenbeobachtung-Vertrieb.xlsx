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bd\universitaet\uni-obsidian\SS26\BA\"/>
    </mc:Choice>
  </mc:AlternateContent>
  <xr:revisionPtr revIDLastSave="0" documentId="13_ncr:1_{D99C2A11-D23A-4C47-994A-6601FB710905}" xr6:coauthVersionLast="47" xr6:coauthVersionMax="47" xr10:uidLastSave="{00000000-0000-0000-0000-000000000000}"/>
  <bookViews>
    <workbookView xWindow="-98" yWindow="-98" windowWidth="22276" windowHeight="13276" activeTab="1" xr2:uid="{B2C993FE-6B4C-4DAE-9868-B77918A49C1A}"/>
  </bookViews>
  <sheets>
    <sheet name="Beobachtung 26" sheetId="1" r:id="rId1"/>
    <sheet name="Zuteilung Stellenbörsen" sheetId="6" r:id="rId2"/>
    <sheet name="Formeln" sheetId="5" r:id="rId3"/>
    <sheet name="Tabelle1" sheetId="8" r:id="rId4"/>
    <sheet name="Ausschreibungsfrequenz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9" i="1" l="1" a="1"/>
  <c r="L148" i="1" a="1"/>
  <c r="B5" i="8"/>
  <c r="D5" i="8"/>
  <c r="B6" i="8"/>
  <c r="D6" i="8"/>
  <c r="J3" i="8"/>
  <c r="I3" i="8"/>
  <c r="H3" i="8"/>
  <c r="G3" i="8"/>
  <c r="F3" i="8"/>
  <c r="E3" i="8"/>
  <c r="D3" i="8"/>
  <c r="C3" i="8"/>
  <c r="B3" i="8"/>
  <c r="J10" i="5"/>
  <c r="L147" i="1" a="1"/>
  <c r="L146" i="1" a="1"/>
  <c r="L145" i="1" a="1"/>
  <c r="L144" i="1" a="1"/>
  <c r="L143" i="1" a="1"/>
  <c r="L142" i="1" a="1"/>
  <c r="L141" i="1" a="1"/>
  <c r="L140" i="1" a="1"/>
  <c r="L139" i="1" a="1"/>
  <c r="L138" i="1" a="1"/>
  <c r="L137" i="1" a="1"/>
  <c r="L136" i="1" a="1"/>
  <c r="L135" i="1" a="1"/>
  <c r="L134" i="1" a="1"/>
  <c r="L133" i="1" a="1"/>
  <c r="L132" i="1" a="1"/>
  <c r="L126" i="1" a="1"/>
  <c r="L127" i="1" a="1"/>
  <c r="L128" i="1" a="1"/>
  <c r="L129" i="1" a="1"/>
  <c r="L130" i="1" a="1"/>
  <c r="L131" i="1" a="1"/>
  <c r="L114" i="1" a="1"/>
  <c r="L115" i="1" a="1"/>
  <c r="L116" i="1" a="1"/>
  <c r="L117" i="1" a="1"/>
  <c r="L118" i="1" a="1"/>
  <c r="L119" i="1" a="1"/>
  <c r="L120" i="1" a="1"/>
  <c r="L121" i="1" a="1"/>
  <c r="L122" i="1" a="1"/>
  <c r="L123" i="1" a="1"/>
  <c r="L124" i="1" a="1"/>
  <c r="L125" i="1" a="1"/>
  <c r="L113" i="1" a="1"/>
  <c r="L112" i="1" a="1"/>
  <c r="L110" i="1" a="1"/>
  <c r="L108" i="1" a="1"/>
  <c r="L106" i="1" a="1"/>
  <c r="L105" i="1" a="1"/>
  <c r="L100" i="1" a="1"/>
  <c r="L101" i="1" a="1"/>
  <c r="L102" i="1" a="1"/>
  <c r="L103" i="1" a="1"/>
  <c r="L104" i="1" a="1"/>
  <c r="L99" i="1" a="1"/>
  <c r="L90" i="1" a="1"/>
  <c r="L89" i="1" a="1"/>
  <c r="L91" i="1" a="1"/>
  <c r="L92" i="1" a="1"/>
  <c r="L93" i="1" a="1"/>
  <c r="L94" i="1" a="1"/>
  <c r="L95" i="1" a="1"/>
  <c r="L96" i="1" a="1"/>
  <c r="L97" i="1" a="1"/>
  <c r="L98" i="1" a="1"/>
  <c r="L81" i="1" a="1"/>
  <c r="L82" i="1" a="1"/>
  <c r="L87" i="1" a="1"/>
  <c r="L86" i="1" a="1"/>
  <c r="L85" i="1" a="1"/>
  <c r="L84" i="1" a="1"/>
  <c r="L83" i="1" a="1"/>
  <c r="L80" i="1" a="1"/>
  <c r="L79" i="1" a="1"/>
  <c r="L78" i="1" a="1"/>
  <c r="L77" i="1" a="1"/>
  <c r="L76" i="1" a="1"/>
  <c r="L75" i="1" a="1"/>
  <c r="L74" i="1" a="1"/>
  <c r="L73" i="1" a="1"/>
  <c r="L72" i="1" a="1"/>
  <c r="L71" i="1" a="1"/>
  <c r="L70" i="1" a="1"/>
  <c r="L69" i="1" a="1"/>
  <c r="L68" i="1" a="1"/>
  <c r="L67" i="1" a="1"/>
  <c r="L66" i="1" a="1"/>
  <c r="L61" i="1" a="1"/>
  <c r="L60" i="1" a="1"/>
  <c r="L59" i="1" a="1"/>
  <c r="L58" i="1" a="1"/>
  <c r="L57" i="1" a="1"/>
  <c r="L56" i="1" a="1"/>
  <c r="L55" i="1" a="1"/>
  <c r="L54" i="1" a="1"/>
  <c r="L53" i="1" a="1"/>
  <c r="L52" i="1" a="1"/>
  <c r="L51" i="1" a="1"/>
  <c r="L50" i="1" a="1"/>
  <c r="L49" i="1" a="1"/>
  <c r="L48" i="1" a="1"/>
  <c r="L47" i="1" a="1"/>
  <c r="L46" i="1" a="1"/>
  <c r="L45" i="1" a="1"/>
  <c r="L44" i="1" a="1"/>
  <c r="L43" i="1" a="1"/>
  <c r="L42" i="1" a="1"/>
  <c r="L41" i="1" a="1"/>
  <c r="L40" i="1" a="1"/>
  <c r="L38" i="1" a="1"/>
  <c r="L37" i="1" a="1"/>
  <c r="L36" i="1" a="1"/>
  <c r="L35" i="1" a="1"/>
  <c r="L34" i="1" a="1"/>
  <c r="L33" i="1" a="1"/>
  <c r="L32" i="1" a="1"/>
  <c r="L31" i="1" a="1"/>
  <c r="L30" i="1" a="1"/>
  <c r="L29" i="1" a="1"/>
  <c r="L28" i="1" a="1"/>
  <c r="L27" i="1" a="1"/>
  <c r="L26" i="1" a="1"/>
  <c r="L25" i="1" a="1"/>
  <c r="L23" i="1" a="1"/>
  <c r="L22" i="1" a="1"/>
  <c r="L21" i="1" a="1"/>
  <c r="L20" i="1" a="1"/>
  <c r="L19" i="1" a="1"/>
  <c r="L18" i="1" a="1"/>
  <c r="L17" i="1" a="1"/>
  <c r="L16" i="1" a="1"/>
  <c r="L15" i="1" a="1"/>
  <c r="L14" i="1" a="1"/>
  <c r="L6" i="1" a="1"/>
  <c r="L65" i="1" a="1"/>
  <c r="L63" i="1" a="1"/>
  <c r="L64" i="1" a="1"/>
  <c r="L13" i="1" a="1"/>
  <c r="L12" i="1" a="1"/>
  <c r="L11" i="1" a="1"/>
  <c r="L10" i="1" a="1"/>
  <c r="L9" i="1" a="1"/>
  <c r="L3" i="1" a="1"/>
  <c r="L4" i="1" a="1"/>
  <c r="L5" i="1" a="1"/>
  <c r="L7" i="1" a="1"/>
  <c r="L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<sst xmlns="http://schemas.openxmlformats.org/spreadsheetml/2006/main" count="981" uniqueCount="738">
  <si>
    <t>Produkt</t>
  </si>
  <si>
    <t>Berater*in</t>
  </si>
  <si>
    <t>Titel der Stelle</t>
  </si>
  <si>
    <t>Arbeitgeber / Institution</t>
  </si>
  <si>
    <t>Ort</t>
  </si>
  <si>
    <t>Bundesland / Land</t>
  </si>
  <si>
    <r>
      <t xml:space="preserve">Ansprechperson 
</t>
    </r>
    <r>
      <rPr>
        <sz val="12"/>
        <color theme="1"/>
        <rFont val="Brandon Text Regular"/>
        <family val="2"/>
      </rPr>
      <t>(nach Möglichkeit Entscheider / kursiv = nach Recherche)</t>
    </r>
  </si>
  <si>
    <t>Bewerbungsfrist</t>
  </si>
  <si>
    <t>Status</t>
  </si>
  <si>
    <t>Rückmeldung / Follow-Up</t>
  </si>
  <si>
    <t>Link zur Ausschreibung</t>
  </si>
  <si>
    <t>Institution zuletzt aufgenommen in Zeile:</t>
  </si>
  <si>
    <t>Score</t>
  </si>
  <si>
    <t>Relevant</t>
  </si>
  <si>
    <t>KW 3 ab 12.1.</t>
  </si>
  <si>
    <t>CK</t>
  </si>
  <si>
    <t>eine:n Referent:in (m/w/d) für den Förderkreis der Komischen Oper Berlin</t>
  </si>
  <si>
    <t>Komische Oper Berlin</t>
  </si>
  <si>
    <t>k.A.</t>
  </si>
  <si>
    <t>18.1.</t>
  </si>
  <si>
    <t>https://oper-in-berlin.softgarden.io/job/61478307?l=de</t>
  </si>
  <si>
    <t>Kommunikationsmanager (m/w/d)</t>
  </si>
  <si>
    <t>Deutscher Tourismus Verband</t>
  </si>
  <si>
    <t>Norbert Kunz (Geschäftsführer)</t>
  </si>
  <si>
    <t>Mail und Magazin 23.01.</t>
  </si>
  <si>
    <t>https://www.deutschertourismusverband.de/fileadmin/user_upload/UEber_uns/Stellenangebote/DTV_Stellenanzeige_Kommunikationsmanager.pdf</t>
  </si>
  <si>
    <t>Projektleitung Kulturwerkstatt</t>
  </si>
  <si>
    <t>DKB Stiftung</t>
  </si>
  <si>
    <t>Katrin Boerner</t>
  </si>
  <si>
    <t xml:space="preserve">Anruf und Mail 23.01. </t>
  </si>
  <si>
    <t>Haben auf die Berliner Ausschreibung 200! Bewerbungen bekommen.  Ggf. besteht für LIEBENBERG Bedarf.</t>
  </si>
  <si>
    <t>https://www.dkb-stiftung.de/stiftung-jobs/</t>
  </si>
  <si>
    <t>DM</t>
  </si>
  <si>
    <t>Leitung der Bibliothek</t>
  </si>
  <si>
    <t>Gemeinde Gräfelfing</t>
  </si>
  <si>
    <t>Christina Zadaja</t>
  </si>
  <si>
    <t>19.1. Postalisch</t>
  </si>
  <si>
    <t>https://www.mein-check-in.de/graefelfing/position-504054</t>
  </si>
  <si>
    <t>Nein</t>
  </si>
  <si>
    <t>Leiter*in Stabsstelle Kommunikation &amp; Service / Pressesprecher*in (m/w/d)</t>
  </si>
  <si>
    <t>Kulturstiftung Dessau-Wörlitz</t>
  </si>
  <si>
    <t>Antje Unger</t>
  </si>
  <si>
    <t>31.1.</t>
  </si>
  <si>
    <t>https://interamt.de/koop/app/stelle?0&amp;id=1393498</t>
  </si>
  <si>
    <t>Museumsleitung (w/m/d)</t>
  </si>
  <si>
    <t>Stadt Bernau</t>
  </si>
  <si>
    <t>Mandy Freier</t>
  </si>
  <si>
    <t>https://bernau-bei-berlin.ris-portal.de/web/guest/detail/-/stelle/detail/museumsleitung-w-m-d-</t>
  </si>
  <si>
    <t>Marketing Manager (m/w/d)</t>
  </si>
  <si>
    <t>Congress centrum Saar</t>
  </si>
  <si>
    <t>Elisabeth Fuchs</t>
  </si>
  <si>
    <t>6.2.</t>
  </si>
  <si>
    <t>Anruf und Magazin Versand</t>
  </si>
  <si>
    <t>Haben gute Rückmeldung, aber benötigen ggf. Untersttzung für SalesPerson in 2 Monaten</t>
  </si>
  <si>
    <t>https://www.ccsaar.de/unternehmen/karriere/</t>
  </si>
  <si>
    <t>AME</t>
  </si>
  <si>
    <t>Projektleitung Eröffnung und Inbetriebnahme (m/w/d)</t>
  </si>
  <si>
    <t>Bauhaus Archiv / Museum für Gestaltung</t>
  </si>
  <si>
    <t>Tom Nehiba</t>
  </si>
  <si>
    <t>8.2.</t>
  </si>
  <si>
    <t>KP versendet, ggf. Beauftragung für 2027</t>
  </si>
  <si>
    <t>https://www.museumsbund.de/stellenangebote/projektleitung-eroeffnung-und-inbetriebnahme-m-w-d/</t>
  </si>
  <si>
    <t>Fachdienstleitung (m/w/d)</t>
  </si>
  <si>
    <t>Stadtverwaltung Neustadt an der Orla</t>
  </si>
  <si>
    <t>Fachdienstleiterin Verwaltung, Frau Jansen-Schleicher</t>
  </si>
  <si>
    <t>13.2.</t>
  </si>
  <si>
    <t>https://www.arbeitsagentur.de/jobsuche/jobdetail/10001-1002371858-S</t>
  </si>
  <si>
    <t>Kfm. Geschäftsführung
Leitung Kommunikation</t>
  </si>
  <si>
    <t>Theater Lüneburg</t>
  </si>
  <si>
    <t>Personalabteilung</t>
  </si>
  <si>
    <t>15.2.</t>
  </si>
  <si>
    <t>NSI Consulting beauftragt</t>
  </si>
  <si>
    <t>https://www.theater-lueneburg.de/service/stellenangebote</t>
  </si>
  <si>
    <r>
      <t xml:space="preserve">Dramaturg/in für Theater- und Familienprogramm (m/w/d) </t>
    </r>
    <r>
      <rPr>
        <sz val="12"/>
        <color rgb="FFFF0000"/>
        <rFont val="Brandon Text Regular"/>
        <family val="2"/>
      </rPr>
      <t>(Programmleitung)</t>
    </r>
  </si>
  <si>
    <t>Monheimer Kulturwerke</t>
  </si>
  <si>
    <t>Britta Kisters</t>
  </si>
  <si>
    <t>K.A.</t>
  </si>
  <si>
    <t>https://www.monheimer-kulturwerke.de/de/stellenangebote/dramaturgin-theater-familienprogramm</t>
  </si>
  <si>
    <t>Verlagsleitung</t>
  </si>
  <si>
    <t>Texte zur Kunst (berlin)</t>
  </si>
  <si>
    <t>Silvia Koch</t>
  </si>
  <si>
    <t>Austausch erfolgt</t>
  </si>
  <si>
    <t>https://arthist.net/archive/51419</t>
  </si>
  <si>
    <t>Direktor Finanzen Controlling</t>
  </si>
  <si>
    <t xml:space="preserve">Amadeu Antonio Stiftung Berlin </t>
  </si>
  <si>
    <t>(Vorstand)</t>
  </si>
  <si>
    <t>noch keinen erreicht</t>
  </si>
  <si>
    <t>https://www.stiftungen.org/jobs/stellenanzeige/director-finanzen-und-controlling-15714.html</t>
  </si>
  <si>
    <t>Stiftungsvorstand</t>
  </si>
  <si>
    <t>Ilse Blank-Mezger-Hesselberger-Stiftung München  (neu: seit 2/2023) /Förderung von Kunst u dt.-jüd. Geschichte</t>
  </si>
  <si>
    <t>Markus Kaum</t>
  </si>
  <si>
    <t>https://www.stiftungen.org/jobs/stellenanzeige/stiftungsvorstand-w-m-d-15706.html</t>
  </si>
  <si>
    <t>Controller (in HH)</t>
  </si>
  <si>
    <t>Joachim Herz Stiftung </t>
  </si>
  <si>
    <t>Kerstin Krüger</t>
  </si>
  <si>
    <t>KP</t>
  </si>
  <si>
    <t>CJ</t>
  </si>
  <si>
    <t>Direktion Stadtgeschichtliches Museum</t>
  </si>
  <si>
    <t>Stadt Duisburg</t>
  </si>
  <si>
    <t>Rachid Andich</t>
  </si>
  <si>
    <t>Telefonat am 12.01.</t>
  </si>
  <si>
    <t>Im Februar nachhaken</t>
  </si>
  <si>
    <t>https://karriere.duisburg.de/jobposting/3e33272ca864148a7c6f02f48f694631787b9ab80</t>
  </si>
  <si>
    <t>Direktorin / Direktor</t>
  </si>
  <si>
    <t>Stiftung Flucht, Vertreibung, Versöhnung
Berlin</t>
  </si>
  <si>
    <t xml:space="preserve"> Frau Unterabteilungsleiterin Korff</t>
  </si>
  <si>
    <t>BIn Mit Frau Bavendamm bereits in Abstimmung, Angebot versendet an BMI</t>
  </si>
  <si>
    <t>https://www.museumsbund.de/stellenangebote/direktorin-direktor/</t>
  </si>
  <si>
    <t>Referatsleiter*in (m/w/d) für das Referat „Kultur, Sport und Industriekultur“.</t>
  </si>
  <si>
    <t>Regionalverband Ruhr ; +49 201 2069-579</t>
  </si>
  <si>
    <t>Frauke Heßberg</t>
  </si>
  <si>
    <t>https://www.rvr.ruhr/politik-regionalverband/ueber-uns/startseite-karriere/</t>
  </si>
  <si>
    <t>Verwaltungsdirektion</t>
  </si>
  <si>
    <t>Staatstheater Braunschweig</t>
  </si>
  <si>
    <t>Land Niedersachsen Personalreferat</t>
  </si>
  <si>
    <t>22.1.</t>
  </si>
  <si>
    <t xml:space="preserve">Dran </t>
  </si>
  <si>
    <t>https://karriere.niedersachsen.de/stellenausschreibungen/verwaltungsdirektion-staatstheater-braunschweig-114057.html</t>
  </si>
  <si>
    <t>KEX</t>
  </si>
  <si>
    <t>Museumsleitung (m/w/d)</t>
  </si>
  <si>
    <t>Museum im Zeughaus Vechta</t>
  </si>
  <si>
    <t>Hr. Thomann</t>
  </si>
  <si>
    <t>01.02.</t>
  </si>
  <si>
    <t>15.1.</t>
  </si>
  <si>
    <t xml:space="preserve">22.1. erl., ch, 
</t>
  </si>
  <si>
    <t>https://logahr1.kdo.de/bewerber-web/?companyEid=05600&amp;tenant=05600&amp;lang=D#position,id=12675e30-1f99-4a09-b0ef-9fff93ff5b09</t>
  </si>
  <si>
    <t>MR</t>
  </si>
  <si>
    <t>Geschäftsführung</t>
  </si>
  <si>
    <t>Leondinger Veranstaltungsmanagement</t>
  </si>
  <si>
    <t>Simone Lindinger</t>
  </si>
  <si>
    <t>KW 4 ab 20.1.</t>
  </si>
  <si>
    <t>FF</t>
  </si>
  <si>
    <t>Künstl. Leitung (ab 2027)</t>
  </si>
  <si>
    <t>Podium Esslingen</t>
  </si>
  <si>
    <t>Brigitte Russ-Scherer</t>
  </si>
  <si>
    <t>https://podium-esslingen.de/news/wir-suchen-nachfolge-kunstlerische-leitung-fur-2027-2026-01-09</t>
  </si>
  <si>
    <t>Direktor:in Marketing, Kommunikation und Besucherservice (m/w/d)</t>
  </si>
  <si>
    <t>Theater Chemnitz</t>
  </si>
  <si>
    <t>Rückmeldung erhalten, Follow-Up folgt</t>
  </si>
  <si>
    <t>https://www.theater-chemnitz.de/service/stellenangebote</t>
  </si>
  <si>
    <t>Projektmanager:in IT-Services (w/m/d) für Berlins Kulturszene</t>
  </si>
  <si>
    <t>Technologie Stiftung Berlin</t>
  </si>
  <si>
    <t>Annette Kleffel (Leitung Abteilung Kultur &amp; Bildung)</t>
  </si>
  <si>
    <t>https://technologiestiftung-berlin.jobs.personio.de/job/2490040?language=de%3Flanguage%3D&amp;display=de</t>
  </si>
  <si>
    <t>Teamleiter:in für Verwaltung, Betrieb, Sicherheit (w/m/d) (39 WoSt)</t>
  </si>
  <si>
    <t>Jüdisches Museum Franken</t>
  </si>
  <si>
    <t>Daniela F. Eisenstein (Direktorin)</t>
  </si>
  <si>
    <t>kein Bedarf, CJ</t>
  </si>
  <si>
    <t>https://www.kultweet.de/jobs/JMF_Verwaltung.pdf</t>
  </si>
  <si>
    <t>Leitung der Stabsstelle Stadtmarketing und Geschäftsführung der WIR VS GmbH (m/w/d)
Citymanager</t>
  </si>
  <si>
    <t>Stadt Villingen-Schwenningen</t>
  </si>
  <si>
    <t>OB Jürgen Roth
pers. Referent Tobias Herrmann</t>
  </si>
  <si>
    <t>31.01.2026
15.02.2026</t>
  </si>
  <si>
    <t>https://wir-vs.de/karriere/leitung-abteilung-tourismus-und-freizeit-2/
https://wir-vs.de/karriere/projektmanager-m-w-d-im-veranstaltungsmanagement-2/</t>
  </si>
  <si>
    <t>Fachbereichsleitung Museum / Bezirksgeschichtsarbeit (m/w/d)</t>
  </si>
  <si>
    <t>Bezirksamt Pankow von Berlin</t>
  </si>
  <si>
    <t>Fr. Lathan</t>
  </si>
  <si>
    <t>An Hr. Roter, Leiter Museum E-Mail am 28.1., ch</t>
  </si>
  <si>
    <t>https://www.karriereportal-stellen.berlin.de/Fachbereichsleitung-Museum-Bezirksgeschichtsarbeit-mwd-de-j63919.html</t>
  </si>
  <si>
    <t>Projektmanager (w/m/d) für Veranstaltungen</t>
  </si>
  <si>
    <t>Deutsches Museum</t>
  </si>
  <si>
    <t>https://www.deutsches-museum.de/museum/ueber-uns/karriere/stellenangebote#c41809</t>
  </si>
  <si>
    <t>Technische Leitung im Theaterbetrieb (m/w/d)</t>
  </si>
  <si>
    <t>Semmel Concerts Entertainment GmbH</t>
  </si>
  <si>
    <t>k.A. 
ab sofort gesucht</t>
  </si>
  <si>
    <t>https://bdkv.de/wp-content/uploads/2025/12/SC_TL_Oberhausen_1225_bdkv.pdf</t>
  </si>
  <si>
    <t>Leitung Tourismus und Kultur (m/w/d)</t>
  </si>
  <si>
    <t>Stadt Bad Doberan</t>
  </si>
  <si>
    <t>j.hahn@stadt-dbr.de</t>
  </si>
  <si>
    <t>JK</t>
  </si>
  <si>
    <t xml:space="preserve"> LWL-Museum Henrichshütte in Hattingen</t>
  </si>
  <si>
    <t>LWL-Museen für Industriekultur, Dr. Kirsten Baumann
0231 6961-136</t>
  </si>
  <si>
    <t>Direktorin / Direktor (w/m/d) der Gottfried Wilhelm Leibniz Bibliothek - Niedersächsische Landesbibliothek</t>
  </si>
  <si>
    <t>Ministerium Niedersachen</t>
  </si>
  <si>
    <t>Personalreferat (Tel. 0511/120-2438</t>
  </si>
  <si>
    <t>Stv. Leitung Controlling</t>
  </si>
  <si>
    <t xml:space="preserve">Stifterverband Essen </t>
  </si>
  <si>
    <t>Marion Langenbach</t>
  </si>
  <si>
    <t>keine</t>
  </si>
  <si>
    <t>https://www.stiftungen.org/jobs/stellenanzeige/stellvertretende-leitung-controlling-m-w-d-15761.html</t>
  </si>
  <si>
    <t>PR &amp; Communication Manager*in (m/w/d) in Vollzeit ...</t>
  </si>
  <si>
    <t>Stiftung Lesen</t>
  </si>
  <si>
    <t>Daniel Henzel</t>
  </si>
  <si>
    <t>https://jobs.kom.de/suche?keyword=&amp;location=&amp;homeoffice=&amp;job=%26job%3Dpr-communication-managerin-mwd-in-vollzeit-40h-mainz-stiftung-lesen-12974281</t>
  </si>
  <si>
    <t>Leitung Socia Media + Restaurator+Rechnungswesen (3 Stellen)</t>
  </si>
  <si>
    <t>Mumok</t>
  </si>
  <si>
    <t>Danijel Woynar</t>
  </si>
  <si>
    <t>haben jemanden gefunden</t>
  </si>
  <si>
    <t>KW 5 ab 26.1.</t>
  </si>
  <si>
    <t>Assistenz Development Sponsoring</t>
  </si>
  <si>
    <t>Komitee der Salzburger Festspiele</t>
  </si>
  <si>
    <t>Solveig Eckert, Leitng Personal Festspielfond</t>
  </si>
  <si>
    <t>Stv. Technische Leitung</t>
  </si>
  <si>
    <t>Halle E+G BetriebsgesmbH</t>
  </si>
  <si>
    <t>Wiebke Stockinger</t>
  </si>
  <si>
    <t>Leitung Gästebetrieb Schloss Ambras Innsbruck</t>
  </si>
  <si>
    <t>KHM Wien</t>
  </si>
  <si>
    <t>Doris Schölnast</t>
  </si>
  <si>
    <t>meldet sich bei Bedarf</t>
  </si>
  <si>
    <t>Redakteurin*in (m/w/d)</t>
  </si>
  <si>
    <t>Leibniz-Zentrum für Archälogie (Leiza)</t>
  </si>
  <si>
    <t>Doris Rübsam-Brodkorb (Ltg. AB Kommunikation)</t>
  </si>
  <si>
    <t>https://www.leiza.de/ueber-uns/karriere/redakteurinin-m/w/d</t>
  </si>
  <si>
    <t>Fachreferent/ -in (m/w/d) Kultur - Literatur &amp; Leseförderung</t>
  </si>
  <si>
    <t>Stadt Weimar</t>
  </si>
  <si>
    <t>28.1., E-Mail CH</t>
  </si>
  <si>
    <t>https://www.mein-check-in.de/weimar/position-506562</t>
  </si>
  <si>
    <t>Leitung Römerstadt Augusta Raurica 80–100 %</t>
  </si>
  <si>
    <t>Kanton Basel-Landschaft / Amt für Kultur</t>
  </si>
  <si>
    <t>Esther Roth (Leiterin Amt für Kultur)</t>
  </si>
  <si>
    <t>https://jobs.baselland.ch/offene-stellen/leitung-roemerstadt-augusta-raurica/b97509d5-6c4e-4744-8445-0aa880c27105</t>
  </si>
  <si>
    <t>Kuratorische Assistenz / Projektleiter*in
(80 %)</t>
  </si>
  <si>
    <t>fundaziun nairs</t>
  </si>
  <si>
    <t>Josiane Imhasly (Direktorin)</t>
  </si>
  <si>
    <t>https://drive.google.com/file/d/19TUeo6YqjZObQ127Wbo2VJS8lElr-4Hh/view</t>
  </si>
  <si>
    <t>stellv. Leitung Stadtbibliothek (w/m/d)</t>
  </si>
  <si>
    <t>Stadt Herne</t>
  </si>
  <si>
    <t>Frau Stipp (Fachbereich Kultur)</t>
  </si>
  <si>
    <t>ch E-Mail, 28.1., telef. nicht erreichbar, E-Mail gewünscht</t>
  </si>
  <si>
    <t>https://www.mein-check-in.de/herne/position-506337</t>
  </si>
  <si>
    <t>Leitung Marketing und Vermittlung</t>
  </si>
  <si>
    <t>Friedenstein Stiftung Gotha</t>
  </si>
  <si>
    <t>Dr. Tobias Pfeifer-Helke</t>
  </si>
  <si>
    <t>https://www.stiftung-friedenstein.de/sites/default/files/downloads/2026_ausschreibung_leitung_marketing_und_vermittlung.pdf</t>
  </si>
  <si>
    <t>Referent:in Unternehmenskommunikation (m/w/d)</t>
  </si>
  <si>
    <t>Stadtmarketing HalleSaale</t>
  </si>
  <si>
    <t>ohne</t>
  </si>
  <si>
    <t>https://verliebtinhalle.de/service/stellenangebote/referentin-unternehmenskommunikation-m/w/d</t>
  </si>
  <si>
    <t>Historiker:in - Deutsches Adelsarchiv in Marburg</t>
  </si>
  <si>
    <t>Stiftung Das Deutsche Adelsarchiv</t>
  </si>
  <si>
    <t>Claudia Becker</t>
  </si>
  <si>
    <r>
      <rPr>
        <sz val="12"/>
        <color rgb="FF000000"/>
        <rFont val="Brandon Text Regular"/>
      </rPr>
      <t xml:space="preserve"> </t>
    </r>
    <r>
      <rPr>
        <sz val="9"/>
        <color rgb="FF000000"/>
        <rFont val="Brandon Text Regular"/>
      </rPr>
      <t>"Sie werden überschwemmt von Bewerbungen, obwohl die Stelle so speziell ist."</t>
    </r>
  </si>
  <si>
    <t>https://www.hsozkult.de/job/id/job-160087?title=1-historiker-in-m-w-d-historischer-adel-deutsches-adelsarchiv-marburg&amp;recno=1&amp;q=&amp;sort=&amp;fq=&amp;total=83</t>
  </si>
  <si>
    <t>Sachbearbeiter für Öffentlichkeitsarbeit und Tourismus (m/w/d</t>
  </si>
  <si>
    <t>Stadt Renchen</t>
  </si>
  <si>
    <t>Stefan Gutenkunst (Fachbereichsleiter)</t>
  </si>
  <si>
    <t>https://karriere.renchen.de/jobposting/2b7cba58f5ab90f707324358c5d99494fc5c99980?ref=homepage</t>
  </si>
  <si>
    <t>Sachbearbeiter*in Sammlungsmanagement (m/w/d) im Skulpturenmuseum Marl</t>
  </si>
  <si>
    <t>Stadt Marl</t>
  </si>
  <si>
    <t>Karin Bähr</t>
  </si>
  <si>
    <t>https://bewerbungen-online-info.pi-asp.de/bewerber-web/?xsrf=6A53B43B9A1DD4BDE8BDAC43600D2519&amp;company=240-FIRMA-ID&amp;tenant=2&amp;lang=D#position,id=3b29d437-d9c0-4c98-97f5-b365e84800d3,popup=y</t>
  </si>
  <si>
    <t>Kommunikation &amp; Marketing (60-80%</t>
  </si>
  <si>
    <t>Tanzhaus Basel</t>
  </si>
  <si>
    <t>Vanessa Prein</t>
  </si>
  <si>
    <t>https://tanzhausbasel.ch/wp-content/uploads/2026/01/20260119_stellenausschreibung_kommunikation.pdf</t>
  </si>
  <si>
    <t>Projektmanager (m/w/d) Externe Koordinierungs- und
Fachstelle der Partnerschaft für Demokratie</t>
  </si>
  <si>
    <t>Kultur- und Weiterbildungsgesellschaft mbH</t>
  </si>
  <si>
    <t>Stefan Möbus (Geschäftsführer)</t>
  </si>
  <si>
    <t>https://www.vhs-dreilaendereck.de/fileadmin/vhs-dreilaendereck/Stellenausschreibungen/Projektmanagment_KuF_PfD.pdf</t>
  </si>
  <si>
    <t>Manager/in (w/m/d) für Communityarbeit</t>
  </si>
  <si>
    <t xml:space="preserve"> Stadt Oldenburg - Amt für Kultur, Museen und Sport</t>
  </si>
  <si>
    <t>Dr. Steffen Wiegmann (Leiter Stadtmuseum)</t>
  </si>
  <si>
    <t>"Sehr viele Bewerbungen (schon über 70). Olderburg ist auch bei der Bearbeitung gut aufgestellt, insofern keine Unterstützunge nötig, auch nicht bei anderen Profilen."</t>
  </si>
  <si>
    <t>https://karriere.oldenburg.de/stellenangebote/stellenangebot/manager-in-w-m-d-fuer-communityarbeit</t>
  </si>
  <si>
    <t>Frau Freier, Sachbearbeiterin Personalamt; 
Tel.: +49 3338 365156</t>
  </si>
  <si>
    <t>Verlängerung der Frist (siehe Zeile 10)</t>
  </si>
  <si>
    <t>Leitung des Dokumentations- und Informationszentrums im HAUS SCHLESIEN</t>
  </si>
  <si>
    <t>Haus Schlesien</t>
  </si>
  <si>
    <t>Dr. Reinhard von Dalwigk, Präsident des Vereins: dalwigk@hausschlesien.de</t>
  </si>
  <si>
    <t>https://www.museumsbund.de/stellenangebote/leitung-des-dokumentations-und-informationszentrums-im-haus-schlesien/</t>
  </si>
  <si>
    <t>Leitung für das Archiv Bildende Kunst</t>
  </si>
  <si>
    <t>Akademie der Künste</t>
  </si>
  <si>
    <t>Claudia Plötz, Fachbereich Personal</t>
  </si>
  <si>
    <t>https://interamt.de/koop/app/stelle?11&amp;id=1406661</t>
  </si>
  <si>
    <t>Sachgebietsleitung Schulverwaltung und Kultur</t>
  </si>
  <si>
    <t>Stadt Teltow-Fläming</t>
  </si>
  <si>
    <t>Frau Luis Turley, +49 3371 608-1528  L.Turley@teltow-flaeming.de</t>
  </si>
  <si>
    <t>28.1. E-Mail vers.</t>
  </si>
  <si>
    <t>https://interamt.de/koop/app/crypt.M_OCkdIHgsjDJmwLAkmTVQ/M_O5c</t>
  </si>
  <si>
    <t>KWL Lippstadt sucht GF / Stadtmarketing</t>
  </si>
  <si>
    <t>Lippstadt</t>
  </si>
  <si>
    <t>bcsd.de/suchergebnisse/?datei=stellenausschreibung_63-gf-kultur_und_werbung_lippstadt_gmbh.pdf</t>
  </si>
  <si>
    <t>Sponsoring, Fundraision, Kooperationen</t>
  </si>
  <si>
    <t>Sicence Communication Center Wien</t>
  </si>
  <si>
    <t>christopher.lindinger@scicom.center</t>
  </si>
  <si>
    <t>bis 28.2.2026</t>
  </si>
  <si>
    <t>angeschreiben am 26.2.</t>
  </si>
  <si>
    <t>KW 6 ab 2.2.</t>
  </si>
  <si>
    <t>Sachbearbeiter*in Kultur und Veranstaltungsmanagement</t>
  </si>
  <si>
    <t>Stadt Königs Wusterhausen</t>
  </si>
  <si>
    <t>Fr. Cathérine Geese</t>
  </si>
  <si>
    <t>18.02.</t>
  </si>
  <si>
    <t>4.02., vers. durch ch</t>
  </si>
  <si>
    <t>https://cdn0.scrvt.com/d19207df10fc2c2113c58b2103007ce0/9d5092bd5ee32ba6/4d537e067d35/Ausschreibung-SB-Kultur-und-Veranstaltungsmanagement.pdf</t>
  </si>
  <si>
    <t>Assistentin des Theaterleiters (m/w/d)</t>
  </si>
  <si>
    <t>Festspielhaus Neuschwanstein gGmbH</t>
  </si>
  <si>
    <t>https://das-festspielhaus.de/assistentin-des-theaterleiters-m-w-d/</t>
  </si>
  <si>
    <t>Museumsleiter/Museumsleiterin (50–60%)</t>
  </si>
  <si>
    <t>Museo Ciäsa Granda</t>
  </si>
  <si>
    <t>22.02.</t>
  </si>
  <si>
    <t>https://ciaesagranda.ch/wp-content/uploads/2026/01/D_Stellenausschreibung_Leitung-MCG.pdf</t>
  </si>
  <si>
    <t>Bildungsvermittlung/ Museumspädagogik</t>
  </si>
  <si>
    <t>Dr. Tobias Pfeifer-Helke (Stiftungsdirektor)</t>
  </si>
  <si>
    <t>15.3.</t>
  </si>
  <si>
    <t>https://thaff-thueringen.de/Stellenangebote/bildungsvermittlung-museumspaedagogik</t>
  </si>
  <si>
    <t>Referatsleitung (m/w/d) Referat VI 2 D</t>
  </si>
  <si>
    <t xml:space="preserve"> Sekretariat der Ständigen Konferenz der Kultusminister der Länder in der Bundesrepublik Deutschland</t>
  </si>
  <si>
    <t>Friederike Leetz</t>
  </si>
  <si>
    <t>13.02.</t>
  </si>
  <si>
    <t>https://karriere.kmk.org/Referatsleitung-mwd-Referat-VI-2-D-Nord-Mittel-Suedeuropa--de-j115.html</t>
  </si>
  <si>
    <t>Kuratorische Assistenz (m/w/d)</t>
  </si>
  <si>
    <t>documenta und Museum Fridericianum gGmbH</t>
  </si>
  <si>
    <t>Geert Frieler</t>
  </si>
  <si>
    <t>https://documenta.de/de/jobs/kuratorische-assistenz-m-w-d</t>
  </si>
  <si>
    <t>Öffentlichkeitsarbeit und Kommunikation (m/w/d)</t>
  </si>
  <si>
    <t>Werkleitz</t>
  </si>
  <si>
    <t>Marcie K. Jost</t>
  </si>
  <si>
    <t>20.03.</t>
  </si>
  <si>
    <t>https://werkleitz.de/media/pages/stellen/e5268152aa-1769169053/emap_stellenausschreibung_2601.pdf</t>
  </si>
  <si>
    <t>Mitarbeiter·in im Konzertbüro (m/w/d)</t>
  </si>
  <si>
    <t>Salzburger Festspielfonds</t>
  </si>
  <si>
    <t>Solveig Eckert, Leitung Personal Festspielfond</t>
  </si>
  <si>
    <t>Kann WG sich mal vorstellen!! Sie kennt OS und GR gut!</t>
  </si>
  <si>
    <t>https://jobs.salzburgerfestspiele.at/Mitarbeiterin-im-Konzertbuero-mwd-de-j646.html</t>
  </si>
  <si>
    <t>Leiter:in Vermittlung &amp; Public Program, 100%</t>
  </si>
  <si>
    <t>Kunsthaus Zürich</t>
  </si>
  <si>
    <t>Jessica Gantenbein</t>
  </si>
  <si>
    <t>https://kunsthaus-zuerich.abacuscity.ch/de/job_1_100233/Leiter%3Ain-Vermittlung-%26-Public-Program%2C-100%25</t>
  </si>
  <si>
    <t>Leitung der Stadtbücherei</t>
  </si>
  <si>
    <t>Stadt Kornwestheim</t>
  </si>
  <si>
    <t>Claudia Münkel (Fachbereichsleitung Kultur und Sport)</t>
  </si>
  <si>
    <t>17.02.</t>
  </si>
  <si>
    <t>https://karriere.kornwestheim.de/site/Kornwestheim_Karriere/node/23887023/zmdetail_523251427750/index.html?nodeID=523251427750</t>
  </si>
  <si>
    <t>Leitung Kommunikation (m/w/d)</t>
  </si>
  <si>
    <t>RambaZamba gGmbH</t>
  </si>
  <si>
    <t>Tatjana Tietz (Assistenz GF)</t>
  </si>
  <si>
    <t>15.03.</t>
  </si>
  <si>
    <t>https://www.buehnenverein.de/de/jobboerse/leitung-kommunikation-mwd/1751</t>
  </si>
  <si>
    <t>Kongresskoordinator*in(m/w/d)</t>
  </si>
  <si>
    <t>Stiftung Deutsche Kinemathek</t>
  </si>
  <si>
    <t>Magazinversand CJ und JK, 4.2.</t>
  </si>
  <si>
    <t>https://www.deutsche-kinemathek.de/de/kinemathek/jobs</t>
  </si>
  <si>
    <t>AUSSTELLUNGSMANAGER (m/w/d) Funktionszusatz: stellvertretende kuratorische Leitung in der Halle für aktuelle Kunst</t>
  </si>
  <si>
    <t>Deichtorhallen Hamburg GmbH</t>
  </si>
  <si>
    <t>Sandra Freimane-Franke (Personalleitung)</t>
  </si>
  <si>
    <t>20.2.</t>
  </si>
  <si>
    <t>https://www.deichtorhallen.de/de/jobs/ausstellungsmanager-m-w-d-funktionszusatz-stellvertretende-kuratorische-leitung-in-der-halle-fuer-aktuelle-kunst</t>
  </si>
  <si>
    <t>Marketingreferent*in (m/w/d/)</t>
  </si>
  <si>
    <t>Landesmuseum Württemberg (LMW)</t>
  </si>
  <si>
    <t>Dr. Heike Scholz (Abt.L. Komm. Und Kulturvermittlung)</t>
  </si>
  <si>
    <t>https://landesmuseum-stuttgart.softgarden.io/job/62359699/Marketingreferent-in-m-w-d-?jobDbPVId=261365034&amp;l=de</t>
  </si>
  <si>
    <t>Referent Kommunikation</t>
  </si>
  <si>
    <t>Staatstheater Karlsruhe</t>
  </si>
  <si>
    <t>1.03.</t>
  </si>
  <si>
    <t>https://jobs.staatstheater-karlsruhe.de/</t>
  </si>
  <si>
    <t>Leiterin/Leiter der Kreismusikschule (w/m/d)</t>
  </si>
  <si>
    <t>Landkreis Nordwestmecklenburg</t>
  </si>
  <si>
    <t>Madeleine Müller</t>
  </si>
  <si>
    <t>26.02.</t>
  </si>
  <si>
    <t>https://interamt.de/koop/app/crypt.Aksupo5worgMzvJcTtrs_Q/Aks28</t>
  </si>
  <si>
    <t>Dezernent/in für das Sozial- und Kulturdezernat (m/w/d)</t>
  </si>
  <si>
    <t>Stadt Blieskastel</t>
  </si>
  <si>
    <t>Anne-Christin Backes</t>
  </si>
  <si>
    <t>https://interamt.de/koop/app/crypt.rnp_EofKW6vbtv9eKM_K6g/rnp83</t>
  </si>
  <si>
    <t>Pressereferent/-in (m/w/d)</t>
  </si>
  <si>
    <t>Bayerisches Landesamt für Denkmalpflege (LFD)</t>
  </si>
  <si>
    <t>Christian Beyer</t>
  </si>
  <si>
    <t>https://interamt.de/koop/app/crypt.rnp_EofKW6tiLZzfet8i3w/rnp83</t>
  </si>
  <si>
    <t>Museumspädagoge/in (m/w/d)</t>
  </si>
  <si>
    <t>Rhein-Kreis Neuss</t>
  </si>
  <si>
    <t>Frau Heinen-Dauber</t>
  </si>
  <si>
    <t>https://interamt.de/koop/app/crypt.rnp_EofKW6uJc-iznG5pMA/rnp83</t>
  </si>
  <si>
    <t>Kuratorische:r Entwickler:in Live-Programm und Kooperationen (m/w/d)</t>
  </si>
  <si>
    <t>Stiftung Stadtmuseum Berlin</t>
  </si>
  <si>
    <t>Louisa Adamac</t>
  </si>
  <si>
    <t>https://interamt.de/koop/app/crypt.rnp_EofKW6uejzxweGF8FQ/rnp83</t>
  </si>
  <si>
    <t>Kunsthistoriker (m/w/d)</t>
  </si>
  <si>
    <t>Landesverband Lippe</t>
  </si>
  <si>
    <t>Andreas Tewes</t>
  </si>
  <si>
    <t>https://interamt.de/koop/app/crypt.rnp_EofKW6tD9ahaARf7Wg/rnp83</t>
  </si>
  <si>
    <t>Persönliche*r Referent*in (m/w/d)</t>
  </si>
  <si>
    <t>Brandenburgische Kulturstiftung Cottbus-Frankfurt (Oder)</t>
  </si>
  <si>
    <t>Andrea Holick</t>
  </si>
  <si>
    <t>https://interamt.de/koop/app/crypt.rnp_EofKW6uvtRA5QdRluA/rnp83</t>
  </si>
  <si>
    <t xml:space="preserve">Kaufmännische Leitung/ Leitung Finanz- und Rechnungswesen </t>
  </si>
  <si>
    <t>Internationale Bachakademie Stuttgart</t>
  </si>
  <si>
    <t>Michael Hörrmann (GF)
michael.hoerrmann@bachakademie.de</t>
  </si>
  <si>
    <t>Leiter Sammlung und Restaurierung (m/w/d)</t>
  </si>
  <si>
    <t>Stiftung Schloss Friedenstein Gotha</t>
  </si>
  <si>
    <t>https://museumsverband-thueringen.de/wp-content/uploads/2026/02/2026_Ausschreibung_Leiter_Sammlung_und-Restaurierung.pdf</t>
  </si>
  <si>
    <t xml:space="preserve">Direktorin </t>
  </si>
  <si>
    <t>Textilmuseum St.Gallen
St. Gallen</t>
  </si>
  <si>
    <t>Heinrich Christen
(Mobil +41 79 600 49 08, E-Mail heinrich.christen@christenadvisory.com)</t>
  </si>
  <si>
    <t>KW 7 ab 9.2.</t>
  </si>
  <si>
    <t>Geschäftsführung (m/w/d)
Leitung für Produktion
und Betriebsmanagement - COO (m/w/d)</t>
  </si>
  <si>
    <t>Musikkultur Rheinsberg gGmbH</t>
  </si>
  <si>
    <t>Dirk H. Beenken</t>
  </si>
  <si>
    <t>https://www.kultweet.de/jobs/Musikkultur_Rheinsberg_Leitung_Produktion_Betriebsmanagement.pdf</t>
  </si>
  <si>
    <t>Leitung Förderung (m/w/d)
&amp;
Kaufmännische Leitung (m/w/d</t>
  </si>
  <si>
    <t>Kuratorium junger deutscher Film</t>
  </si>
  <si>
    <t>Christina Bentlage, Direktorindes Kuratorium</t>
  </si>
  <si>
    <t>https://www.kultweet.de/jobs/KjdF_Leitung_Foerderung.pdf
https://www.kultweet.de/jobs/KjdF_Kaufmaennische_Leitung.pdf</t>
  </si>
  <si>
    <t>Kulturmanager/in (m/w/d)</t>
  </si>
  <si>
    <t>Stadt Dülmen</t>
  </si>
  <si>
    <t>Frau Althoff (Abteilungsleiterin Kultur)</t>
  </si>
  <si>
    <t>https://karriere.duelmen.de/jobposting/0ea7910c822ea71688873e9c4bea52174f4d36480?ref=homepage</t>
  </si>
  <si>
    <t>Abteilungsleiter/-in (m/w/d) für die Kulturabteilung</t>
  </si>
  <si>
    <t>Stadt Pulheim</t>
  </si>
  <si>
    <t>Fachamt: Herr Gruber, Tel.: 02238/808-404
Personalabteilung: Herr Schnee, Tel.: 02238/808-641</t>
  </si>
  <si>
    <t>https://karriere.pulheim.de/jobposting/9ba5d5ddc1653fb72e2f838227e9727c2af8f0560?ref=homepage</t>
  </si>
  <si>
    <t>Referent/in Kommunikation im Deutschen Kulturrat (w/m/d)</t>
  </si>
  <si>
    <t>Deutscher Kulturrat</t>
  </si>
  <si>
    <t>Gabriele Schulz, Stv. Geschäftsführerin des Deutschen Kulturrates</t>
  </si>
  <si>
    <t>CK: Habe mit Gabi Schulz telefoniert, kein Geld und erschreckend viele gute Bewerbungen...</t>
  </si>
  <si>
    <t>https://www.kulturrat.de/stellenausschreibung/referentin-kommunikation/</t>
  </si>
  <si>
    <t>Pressereferent/in (w/m/d)
Schauspieldirektion</t>
  </si>
  <si>
    <t>Theater Magdeburg</t>
  </si>
  <si>
    <t>Anja Briese
Marion Müller</t>
  </si>
  <si>
    <t>https://www.theater-magdeburg.de/kontakt-infos/jobs/pressereferentin-wmd/
https://www.theater-magdeburg.de/kontakt-infos/jobs/schauspieldirektion-ab-der-spielzeit-2728/</t>
  </si>
  <si>
    <t>Abteilungsleitung (w/m/d) Städtische Veranstaltungszentren</t>
  </si>
  <si>
    <t>Stadt Göppingen</t>
  </si>
  <si>
    <t>Leiterinnen des Fachbereichs Kultur, Frau Frey, Telefon 07161 650-40020 und Frau Grupp, Telefon 07161 650-40010.</t>
  </si>
  <si>
    <t>https://www.mein-check-in.de/goeppingen/position-508764</t>
  </si>
  <si>
    <t>OS</t>
  </si>
  <si>
    <t>Kaufm. Direktion</t>
  </si>
  <si>
    <t>Kulturinstitute Bochum Aör</t>
  </si>
  <si>
    <t>Herr Stadtrat Dietmar Dieckmann</t>
  </si>
  <si>
    <t>Mit OS gesprochen (DM)</t>
  </si>
  <si>
    <t>https://www.schauspielhausbochum.de/de/haus/848/jobs-und-ausschreibungen</t>
  </si>
  <si>
    <t>Referent für Presse und Kommunikation</t>
  </si>
  <si>
    <t>Oper Leipzig</t>
  </si>
  <si>
    <t xml:space="preserve"> Ilka Dietze</t>
  </si>
  <si>
    <t>WG? hunter Einträge checken: Wolff u Schubert kennen uns gut!</t>
  </si>
  <si>
    <t>https://www.oper-leipzig.de/de/jobs/referent-in-fur-presse-und-kommunikation-wmd/83</t>
  </si>
  <si>
    <t>Städtisches Museum Herford</t>
  </si>
  <si>
    <t>Museumsleitung Sonja Langkafe</t>
  </si>
  <si>
    <t>https://lhr03-portal.owl-it.de/bewerber-web/?xsrf=E59986D512727B7F3BD5D79A48175200&amp;company=0230-FIRMA-ID&amp;tenant=&amp;lang=D&amp;canShare=true&amp;Uid=#position,id=3e5ebfb2-e066-427b-b0ac-374317b3d43b,popup=y</t>
  </si>
  <si>
    <t>Stellenausschreibung: Referent (m/w/d) für Öffentlichkeitsarbeit</t>
  </si>
  <si>
    <t>Kunststiftung Sachsen-Anhalt</t>
  </si>
  <si>
    <t>Frau Manon Bursian</t>
  </si>
  <si>
    <t>https://www.kunststiftung-sachsen-anhalt.de/stellenausschreibung-oeffentlichkeitsarbeit/</t>
  </si>
  <si>
    <t>Referent*in (m/w/d) der Direktorin</t>
  </si>
  <si>
    <t>Haus der Geschichte
Baden-Württemberg</t>
  </si>
  <si>
    <t xml:space="preserve">Dr. Cornelia Hecht-Zeiler </t>
  </si>
  <si>
    <t>https://www.hdgbw.de/jobs/</t>
  </si>
  <si>
    <t>Maxim Gorki Theater Berlin</t>
  </si>
  <si>
    <t>Çağla Ilk</t>
  </si>
  <si>
    <t>https://www.gorki.de/de/leitung-kommunikation-m-w-d</t>
  </si>
  <si>
    <t xml:space="preserve">Abteilungsleitung (m/w/d) der Wessenberg-Galerie </t>
  </si>
  <si>
    <t>Stadt Konstanz</t>
  </si>
  <si>
    <t xml:space="preserve">Dr. Tobias Engelsing
Städtische Museen
07531 900 2277 </t>
  </si>
  <si>
    <t>OS hat Termin mit BM Osner wegen Bodenseephilharmonie</t>
  </si>
  <si>
    <t>https://konstanz.bewerbung.dvvbw.de/2524-abteilungsleitung-m-w-d-der-wessenberg-galerie/de/job.html</t>
  </si>
  <si>
    <t>Leitung des Fachbereichs Tourismus, Wirtschaft, Marketing &amp; Kultur (m/w/d)</t>
  </si>
  <si>
    <t>Stadt Kelheim</t>
  </si>
  <si>
    <t>https://www.kelheim.de/stellenangebote/leitung-des-fachbereichs-tourismus-wirtschaft-marketing-kultur-m-w-d-in-vollzeit-unbefristet/</t>
  </si>
  <si>
    <t>Programmkoordination/Künstlerisches Betriebsbüro
(m/w/d, Vollzeit)</t>
  </si>
  <si>
    <t>Wiener Festwochen</t>
  </si>
  <si>
    <t>Artemis Vakianis (GF)</t>
  </si>
  <si>
    <t>wollen selbst suchen, melden sich nur wenn dies nicht gut läuft, KP angeboten</t>
  </si>
  <si>
    <t>https://www.festwochen.at/stellenausschreibung-programmkoordination-kuenstlerisches-betriebsbuero</t>
  </si>
  <si>
    <t>Künstlerische / wissenschaftliche Direktion (m/w/d)</t>
  </si>
  <si>
    <t>Rautenstrauch-Joest-Museums – Kulturen der Welt (RJM)</t>
  </si>
  <si>
    <t xml:space="preserve">Stadt Köln , Herr Charles, Frau Rein </t>
  </si>
  <si>
    <t>Stadt_Koeln_Direktion_RJM.pdf</t>
  </si>
  <si>
    <t>Kustode (m/w/d) Graphische Sammlungen Bauhaus, Moderne, Gegenwart (1860 bis heute) (Weimar)-E13, 6 Jahre</t>
  </si>
  <si>
    <t> Klassik Stiftung Weimar</t>
  </si>
  <si>
    <t>Online</t>
  </si>
  <si>
    <t>War gerade persönlich bei Frau Lorenz.</t>
  </si>
  <si>
    <t>https://www.stiftungen.org/jobs/stellenanzeige/kustode-m-w-d-graphische-sammlungen-bauhaus-moderne-gegenwart-1860-bis-heute-15879.html</t>
  </si>
  <si>
    <t>KW 8 ab 16.2. - SERVER DOWN</t>
  </si>
  <si>
    <t xml:space="preserve">KW 9 ab 23.2. </t>
  </si>
  <si>
    <t xml:space="preserve">KW 10 ab 2.3. </t>
  </si>
  <si>
    <t>WG</t>
  </si>
  <si>
    <t>Kommunikation / Dramaturgie (m/w/d)</t>
  </si>
  <si>
    <t>Deutsche Staatsphilharmonie Rheinland-Pfalz</t>
  </si>
  <si>
    <t xml:space="preserve">Intendant Michael Gassmann </t>
  </si>
  <si>
    <t>https://www.kultweet.de/jobs/Staatsphilharmonie_RLP_Presse_Vertretung_online.pdf</t>
  </si>
  <si>
    <t>Stellvertretende*r Kaufmännische*r Direktor*in (w/m/d)</t>
  </si>
  <si>
    <t>Theater Bonn</t>
  </si>
  <si>
    <t>Nico Heinrich</t>
  </si>
  <si>
    <t>19.03.</t>
  </si>
  <si>
    <t>Gespräch am 18.3.</t>
  </si>
  <si>
    <t>https://recruitingapp-5327.de.umantis.com/Vacancies/5174/Description/1</t>
  </si>
  <si>
    <t>Leiter:in Marketing (m/w/d)</t>
  </si>
  <si>
    <t>Brandenburgische Staatsorchester Frankfurt (BSOF)</t>
  </si>
  <si>
    <t>https://www.frankfurt-oder.de/Verwaltung-Stadtpolitik/Verwaltung/Aktuelles/Leiter-in-Marketing-m-w-d-.php?object=tx,4071.5.1&amp;ModID=7&amp;FID=4071.6231.1&amp;NavID=2616.27&amp;La=1</t>
  </si>
  <si>
    <t>Kurator*in (m/w/d)</t>
  </si>
  <si>
    <t>Stiftung Haus der Kunst, München</t>
  </si>
  <si>
    <t>Beate Gurth / Personalreferentin</t>
  </si>
  <si>
    <t>https://www.hausderkunst.de/ueber-uns/stellenangebote-praktika/kurator-in-w-m-d</t>
  </si>
  <si>
    <t>Leitung des Instituts für internationale Kontakte – die Brücke (m/w/d)</t>
  </si>
  <si>
    <t>Stadt Recklinghausen</t>
  </si>
  <si>
    <t>Herr Tschersich
Bürgermeister</t>
  </si>
  <si>
    <t>erl. ch</t>
  </si>
  <si>
    <t>https://selfdb.gkd-re.de/selfdbinter320/DokumentServlet?dokumentenname=260-5064fieldDokument.pdf</t>
  </si>
  <si>
    <t>Abteilungsleiter:in (w/m/d) Öffentlichkeitsarbeit</t>
  </si>
  <si>
    <t>Stadt Frankfurt am Main</t>
  </si>
  <si>
    <t>Frau Steinke</t>
  </si>
  <si>
    <t>https://stadtfrankfurtjobs.de/abteilungsleiterin-wmd-oeffentlichkeitsarbeit-de-j9977.html</t>
  </si>
  <si>
    <t>Leitung Öffentlichkeitsarbeit und Kommunikation (m/w/d)</t>
  </si>
  <si>
    <t>Deutschen Theaters Berlin</t>
  </si>
  <si>
    <t>Leiterin
Kommunikation, Frau Carol Corellou</t>
  </si>
  <si>
    <t>https://www.deutschestheater.de/fileadmin/2025_26_Spielzeit/00_Aktuelles/Jobs___Ausschreibungen/Ausschreibung_Leiter_in_Kommunikation_mwd_260224.pdf</t>
  </si>
  <si>
    <t>Pressereferent:in (m/w/d) 75%
für die Abteilung Diskurs &amp; Kommunikation.</t>
  </si>
  <si>
    <t>Zeppelin Museum Friedrichshafen</t>
  </si>
  <si>
    <t>Dominik Busch, Leiter Abteilung Diskurs &amp; Kommunikation</t>
  </si>
  <si>
    <t>https://www.zeppelin-museum.de/museum/jobs-karriere?accordion=pressereferentin</t>
  </si>
  <si>
    <t>Produktionsleitung (m/w/d)</t>
  </si>
  <si>
    <t>Puppentheater Magdeburg</t>
  </si>
  <si>
    <t>Sandra Lichner, Personalreferentin</t>
  </si>
  <si>
    <t>https://www.puppentheater-magdeburg.de/wp-content/uploads/2026/02/Stellenausschreibung_Produktionsleitung.pdf</t>
  </si>
  <si>
    <t>Kulturmanager / Prokurist (m/w/d)</t>
  </si>
  <si>
    <t>Kulturfonds Frankfurt RheinMain</t>
  </si>
  <si>
    <t>KONKURRENZ: FiEBES IN COMPANY Personal‐
marketing GmbH</t>
  </si>
  <si>
    <t>https://www.kultweet.de/jobs/Kulturfonds_FfM_KulturmanagerIn.pdf</t>
  </si>
  <si>
    <t>Ausstellungskurator (m/w/d)</t>
  </si>
  <si>
    <t>Deutsches Fussballmuseum</t>
  </si>
  <si>
    <t>https://dfb-stiftung-deutsches-fuballmuseum-ggm.jobs.personio.com/job/2521790?language=de&amp;display=de</t>
  </si>
  <si>
    <t>Geschäftsführung (w/m/d)</t>
  </si>
  <si>
    <t>Digitales deutsches Frauenarchiv</t>
  </si>
  <si>
    <t>https://www.digitales-deutsches-frauenarchiv.de/blog/stellenausschreibung-ddf-geschaeftsfuehrung</t>
  </si>
  <si>
    <t>Verantwortliche:r Kommunikation &amp; Fundraising (m/w/d)</t>
  </si>
  <si>
    <t>Fotostiftung Schweiz</t>
  </si>
  <si>
    <t>Kerstin Camenisch, administrative Leitung Fotostiftung</t>
  </si>
  <si>
    <t>https://fotostiftung.ch/wp-content/uploads/2026/02/260106_inserat_fss_ausschreibung_kommunikation_fundraising-1.pdf</t>
  </si>
  <si>
    <t>Citymanager (m/w/d)</t>
  </si>
  <si>
    <t>Lohr am Main</t>
  </si>
  <si>
    <t>https://www.mein-check-in.de/lohr/position-411210</t>
  </si>
  <si>
    <t>Kommunikationsmanager &amp; Pressesprecher (m/w/d)</t>
  </si>
  <si>
    <t>Deutsche Spionagemuseum</t>
  </si>
  <si>
    <t>https://deutsches-spionagemuseum.softgarden.io/job/62965549/Kommunikationsmanager-Pressesprecher-m-w-d-in-Voll-oder-Teilzeit?jobDbPVId=264082629&amp;l=de</t>
  </si>
  <si>
    <t>Kurator*in für Gegenwartskunst / Sammlungskurator*in 21. Jahrhundert</t>
  </si>
  <si>
    <t>Bundesstadt Bonn</t>
  </si>
  <si>
    <t>Intendantin des Kunstmuseums, Dr. Claudia Emmert</t>
  </si>
  <si>
    <t>https://recruitingapp-5327.de.umantis.com/Vacancies/4910/Description/1</t>
  </si>
  <si>
    <t>Geschäftsführung (m/w/d) des Museumsverbandes
Thüringen e.V.</t>
  </si>
  <si>
    <t>Museumsverband Thüringen e.V.</t>
  </si>
  <si>
    <t xml:space="preserve">Präsident des Museumsverbandes Thüringen , Herr Dr. Roland
Krischke, </t>
  </si>
  <si>
    <t>https://museumsverband-thueringen.de/wp-content/uploads/2026/02/Stellenausschreibung_GF_MVT_2026_02_16.pdf</t>
  </si>
  <si>
    <t>Fachbereichsleitung (d/m/w) für unseren Fachbereich Kultur und Sport</t>
  </si>
  <si>
    <t>Stadt Rödermark</t>
  </si>
  <si>
    <t>https://roedermark.de/fileadmin/Stadt_und_Stadtverwaltung/Stadtverwaltung/Stellenanzeigen/2026-02-17_Stellenausschreibung_FBL5_Nr2.pdf</t>
  </si>
  <si>
    <t>Leitung Studiencenter</t>
  </si>
  <si>
    <t>mdw</t>
  </si>
  <si>
    <t>Ulrike Sych(Rektorin)</t>
  </si>
  <si>
    <t>https://www.mdw.ac.at/bewerbungsportal/verwaltung/349</t>
  </si>
  <si>
    <t>2 Leiter:innen (w/m/d) Filmforum Höchst</t>
  </si>
  <si>
    <t>Herr Pasternack</t>
  </si>
  <si>
    <t>https://stadtfrankfurtjobs.de/Leiterin-wmd-Filmforum-Hoechst-de-j10437.html?sid=8e52fa59687e1275e0df78317d1c0413</t>
  </si>
  <si>
    <t>Geschäftsführung (m/w/d)</t>
  </si>
  <si>
    <t>Landesgartenschau Luckau 2000 GmbH</t>
  </si>
  <si>
    <t>Frau Seehaus-Bandick</t>
  </si>
  <si>
    <t>https://interamt.de/koop/app/crypt.X7zuQ2wz3tL13jkI6_YW1w/X7z1a#</t>
  </si>
  <si>
    <t>wissenschaftliche*n Mitarbeiter*in als Sekretär der Sektion Literatur</t>
  </si>
  <si>
    <t>Claudia Plötz</t>
  </si>
  <si>
    <t>Olche Stellen machen sie alleine, bin mit bettina Huber in KOntakt</t>
  </si>
  <si>
    <t>https://interamt.de/koop/app/stelle?8&amp;id=1420308</t>
  </si>
  <si>
    <t>Referent/in für Altdeutsche und Altniederländische Malerei (m/w/d)</t>
  </si>
  <si>
    <t>Staatliche Museumsagentur Bayern</t>
  </si>
  <si>
    <t>Tatjana Kaschner</t>
  </si>
  <si>
    <t>https://interamt.de/koop/app/crypt.X7zuQ2wz3tLFmmtebO9r0g/X7z1a</t>
  </si>
  <si>
    <t>Wissenschaftlichen Mitarbeiter/in</t>
  </si>
  <si>
    <t>Staatliche Münzsammlung München</t>
  </si>
  <si>
    <t>David Weidgenannt</t>
  </si>
  <si>
    <t>Wissenschaftlicher Mitarbeiter (m/w/d) | Staatliche Münzsammlung München - Stellensuche (interamt.de)</t>
  </si>
  <si>
    <t>Referent (in) für PR und Marketing</t>
  </si>
  <si>
    <t>Paula Modersohn-Becker Museum</t>
  </si>
  <si>
    <t>Dr. Frank Schmidt Direktor (keine Mail vorhanden)</t>
  </si>
  <si>
    <t>https://www.museumsbund.de/stellenangebote/referent-in-fuer-pr-und-marketing-im-paula-modersohn-becker-museum/</t>
  </si>
  <si>
    <t>Abteilungsleitung Sammlungen &amp; Stellvertretende Museumsleitung</t>
  </si>
  <si>
    <t>Filmuniversität Babelsberg KONRAD WOLF</t>
  </si>
  <si>
    <t>Abteilungsleitung Sammlungen &amp; Stellvertretende Museumsleitung | Filmuniversität Babelsberg KONRAD WOLF | 318</t>
  </si>
  <si>
    <t xml:space="preserve">Intendanz </t>
  </si>
  <si>
    <t>Lea Nienhoff
Kulturreferentin
0335 552 9949
lea.nienhoff@frankfurt-oder.de</t>
  </si>
  <si>
    <t>https://www.buehnenverein.de/de/jobboerse/intendantin-intendant-mwd/2228</t>
  </si>
  <si>
    <t>SBo</t>
  </si>
  <si>
    <t>Leitung KBB</t>
  </si>
  <si>
    <t>Bühnen der Stadt Köln</t>
  </si>
  <si>
    <t>Klaus Kröhne
Referent und Stellvertreter des Geschäftsführenden Direktors
0221/221-28965
klaus.kroehne@buehnen.koeln</t>
  </si>
  <si>
    <t>https://www.buehnenverein.de/de/jobboerse/leitung-des-kunstlerischen-betriebsburos-kbb-mwd/2191</t>
  </si>
  <si>
    <t>Geschäftsführende Intendanz</t>
  </si>
  <si>
    <t>Theater Casino Zug</t>
  </si>
  <si>
    <t>von Metrum betreut</t>
  </si>
  <si>
    <t>https://www.buehnenverein.de/de/jobboerse/geschaftsfuhrende-intendanz-wmd/2158</t>
  </si>
  <si>
    <t>Direktor*in Human Resources</t>
  </si>
  <si>
    <t xml:space="preserve">Württembergische Staatstheater Stuttgart </t>
  </si>
  <si>
    <t>Iris Müller
Teamleitung Personal
071120320
personal@staatstheater-stuttgart.de</t>
  </si>
  <si>
    <t>9.3.</t>
  </si>
  <si>
    <t>https://www.buehnenverein.de/de/jobboerse/direktorin-human-resources-mwd/2205</t>
  </si>
  <si>
    <t>Theaterleitung · Verwaltung</t>
  </si>
  <si>
    <t>Theater Pfütze e.V. (Nürnberg)</t>
  </si>
  <si>
    <t>Jakob Jokisch
Theaterleitung
09112707924
gorlt@theater-pfuetze.de</t>
  </si>
  <si>
    <t xml:space="preserve"> 31.03.2026</t>
  </si>
  <si>
    <t>https://www.buehnenverein.de/de/jobboerse/theaterleitung-verwaltung-mwd/2174</t>
  </si>
  <si>
    <t>Technische Leitung</t>
  </si>
  <si>
    <t>https://www.buehnenverein.de/de/jobboerse/technische-leitung-mwd/2106</t>
  </si>
  <si>
    <t>Leiter*in Controlling</t>
  </si>
  <si>
    <t>Sächsische Staatstheater - Staatsoper Dresden und Staatsschauspiel Dresden (SST)</t>
  </si>
  <si>
    <t>Tiffany Mertens
Sachbearbeiterin Personalabteilung
03 51/49 11-2 53
bewerbung@saechsische-staatstheater.de</t>
  </si>
  <si>
    <t>https://www.buehnenverein.de/de/jobboerse/leiterin-controlling-dmw/2044</t>
  </si>
  <si>
    <t>Leitung Öffentlichkeitsarbeit und Kommunikation</t>
  </si>
  <si>
    <t>Deutsches Theater Berlin</t>
  </si>
  <si>
    <t>Frau Carol Corellou
Öffentlichkeitsarbeit und Kommunikation / Leiterin Kommunikation &amp; Development
030284 41 234</t>
  </si>
  <si>
    <t xml:space="preserve">Technische:r Direktor:in </t>
  </si>
  <si>
    <t>Christian Walter
Bewerbermanagement
030 246 447 306
c.walter@oper-in-berlin.de</t>
  </si>
  <si>
    <t>https://www.buehnenverein.de/de/jobboerse/technischer-direktorin-mwd-in-vollzeit-fur-die-komische-oper-berlin/2162</t>
  </si>
  <si>
    <t>Technische*r Leiter*in</t>
  </si>
  <si>
    <t>Salzburger Landestheater (AT)</t>
  </si>
  <si>
    <t>Bernhard Utz (Kfm. Direktor)</t>
  </si>
  <si>
    <t>https://www.salzburger-landestheater.at/file.php?file=uploads/_Offene%20Stellen/TECHNISCHE_N%20LEITER_IN.pdf&amp;cropping=</t>
  </si>
  <si>
    <t>1 Bereichsleitung "Geschichte" (Institut für Sächsische Geschichte und Volkskunde e.V., Dresden)</t>
  </si>
  <si>
    <t>Institut für Sächsische Geschichte und Volkskunde e.V. (Zellescher Weg 17)</t>
  </si>
  <si>
    <t>Dresden</t>
  </si>
  <si>
    <t>Deutschland</t>
  </si>
  <si>
    <t>25.05.2026</t>
  </si>
  <si>
    <t>Neu</t>
  </si>
  <si>
    <t>https://www.hsozkult.de/job/id/job-161982?title=1-bereichsleitung-geschichte-institut-fuer-saechsische-geschichte-und-volkskunde-e-v-dresden&amp;recno=5&amp;q=&amp;sort=&amp;fq=&amp;total=72</t>
  </si>
  <si>
    <t>1 Pressesprecher:in / Leitung (m/w/d) "Fachbereich Medien und Kommunikation" (Deutsches Zentrum Kulturgutverluste, Magdeburg)</t>
  </si>
  <si>
    <t>Deutsches Zentrum Kulturgutverluste</t>
  </si>
  <si>
    <t>Magdeburg</t>
  </si>
  <si>
    <t>10.05.2026</t>
  </si>
  <si>
    <t>https://www.hsozkult.de/job/id/job-161962?title=1-pressesprecher-in-leitung-m-w-d-fachbereich-medien-und-kommunikation-deutsches-zentrum-kulturgutverluste-magdeburg&amp;recno=1&amp;q=&amp;sort=&amp;fq=&amp;total=72</t>
  </si>
  <si>
    <t>Anzahl</t>
  </si>
  <si>
    <t>Quelle</t>
  </si>
  <si>
    <t>Schwerpunkt</t>
  </si>
  <si>
    <t>URL</t>
  </si>
  <si>
    <t>Pilotstatus</t>
  </si>
  <si>
    <t>Abrufmethode</t>
  </si>
  <si>
    <t>EVVC.org Job.Center</t>
  </si>
  <si>
    <t>Veranstaltungszentren</t>
  </si>
  <si>
    <t>https://www.evvc.org/jobportal</t>
  </si>
  <si>
    <t>nein</t>
  </si>
  <si>
    <t>HTTP</t>
  </si>
  <si>
    <t>Kultweet</t>
  </si>
  <si>
    <t>Kultur, Bildung, Wissenschaft, Kommunikation</t>
  </si>
  <si>
    <t>https://www.kultweet.de/jobs.php</t>
  </si>
  <si>
    <t>ja</t>
  </si>
  <si>
    <t>Open Biblio Jobs</t>
  </si>
  <si>
    <t>Bibliotheken, Archive</t>
  </si>
  <si>
    <t>https://bibliojobs.eu/</t>
  </si>
  <si>
    <t>Portal Kunstgeschichte</t>
  </si>
  <si>
    <t>Kunstgeschichte, Kulturwissenschaft</t>
  </si>
  <si>
    <t>https://portalkunstgeschichte.de/</t>
  </si>
  <si>
    <t>H-Soz-Kult</t>
  </si>
  <si>
    <t>Kulturwissenschaften, Kunstgeschichte, Geschichtswissenschaft</t>
  </si>
  <si>
    <t>https://www.hsozkult.de/job/page</t>
  </si>
  <si>
    <t xml:space="preserve">H-ArtHist </t>
  </si>
  <si>
    <t>Kunstgeschichte, Bildende Kunst</t>
  </si>
  <si>
    <t xml:space="preserve">https://arthist.net/new.php?pn=mailing-list&amp;mode=contribute </t>
  </si>
  <si>
    <t>Bundesverband Museumspädagogik e.V.</t>
  </si>
  <si>
    <t>Museumspädagogik</t>
  </si>
  <si>
    <t>https://www.museumspaedagogik.org/aktuelles/jobs/</t>
  </si>
  <si>
    <t>Deutscher Museumsbund e.V.</t>
  </si>
  <si>
    <t>Museum/Kunstverein</t>
  </si>
  <si>
    <t>https://www.museumsbund.de/stellenangebote/</t>
  </si>
  <si>
    <t>BUND.de</t>
  </si>
  <si>
    <t>Verwaltung/Administration</t>
  </si>
  <si>
    <t>https://editor.bund.de</t>
  </si>
  <si>
    <t>Interamt</t>
  </si>
  <si>
    <t>https://interamt.de/cms/arbeitgeber.html</t>
  </si>
  <si>
    <t>nmz - neue musikzeitung</t>
  </si>
  <si>
    <t xml:space="preserve">Musik </t>
  </si>
  <si>
    <t>https://www.music-job.com</t>
  </si>
  <si>
    <t>KOM Magazin für Kommunikation</t>
  </si>
  <si>
    <t>PR, Kommunikation, Medien</t>
  </si>
  <si>
    <t>https://stellenanzeigen.pressesprecher.com/stellenanzeige-schalten</t>
  </si>
  <si>
    <t>stiftungen.org</t>
  </si>
  <si>
    <t>Stiftungen</t>
  </si>
  <si>
    <t>https://www.stiftungen.org/benutzerkonto.html</t>
  </si>
  <si>
    <t>baito</t>
  </si>
  <si>
    <t>u.a Kulturstellen</t>
  </si>
  <si>
    <t>https://www.getbaito.com/de/jobs?job-branch=art-music-drama</t>
  </si>
  <si>
    <t>KMM Netzwerk e.V.</t>
  </si>
  <si>
    <t>Kulturmanagement</t>
  </si>
  <si>
    <t>bcsd e.V.</t>
  </si>
  <si>
    <t>City- und Stadtmarketing, Tourismus, Wirtschaftsförderung</t>
  </si>
  <si>
    <t>https://www.bcsd.de/service/jobboerse/</t>
  </si>
  <si>
    <t>destinet.de</t>
  </si>
  <si>
    <t>Tourismus und Destinationsmanagement</t>
  </si>
  <si>
    <t>https://www.destinet.de/stellenmarkt/stellenanzeigen-schalten</t>
  </si>
  <si>
    <t>TourismusNews Deutschland</t>
  </si>
  <si>
    <t>Tourismus, Stadtmarketing</t>
  </si>
  <si>
    <t>https://jobs.tn-deutschland.com/order</t>
  </si>
  <si>
    <t>PREGAS (außerdem Touristiklounge, EVENTFEX)</t>
  </si>
  <si>
    <t>Tourismus, Hotellerie, Gastronomie und MICE, Veranstaltungstätten</t>
  </si>
  <si>
    <t>https://pregas.de/stellenanzeige-schalten/</t>
  </si>
  <si>
    <t>Kultur Management Network</t>
  </si>
  <si>
    <t>https://www.kulturmanagement.net/Stellenmarkt-Eintrag</t>
  </si>
  <si>
    <t>Kulturjobs.net</t>
  </si>
  <si>
    <t>Kultur - Österreich</t>
  </si>
  <si>
    <t>https://www.kulturjobs.net/eintrag.php</t>
  </si>
  <si>
    <t>Frauen in Kultur &amp; Medien (Deutscher Kulturrat)</t>
  </si>
  <si>
    <t>Kulturmanagement, Medien</t>
  </si>
  <si>
    <t>https://frauen-in-kultur-und-medien.de/aktuell/ausschreibungen/</t>
  </si>
  <si>
    <t>Gesines Jobtipps</t>
  </si>
  <si>
    <t>Bildung, Kultur &amp; NGOs - Berlin, Leipzig, Halle</t>
  </si>
  <si>
    <t xml:space="preserve">https://gesinesjobtipps.de/freie-stelle-eintragen/ </t>
  </si>
  <si>
    <t>Public Marketing</t>
  </si>
  <si>
    <t>Stadtmarketing, Marketing, Tourismus, Veranstaltungsstätten</t>
  </si>
  <si>
    <t>https://www.publicmarketing.eu/_rubric/index.php?rubric=Mediadaten</t>
  </si>
  <si>
    <t>LH</t>
  </si>
  <si>
    <t>BDKV (Bundesverband der Konzert- und Veranstaltungswirtschaft e. V.)</t>
  </si>
  <si>
    <t>https://bdkv.de/jobboerse/jobangebote/</t>
  </si>
  <si>
    <t>buehnenjobs.de</t>
  </si>
  <si>
    <t>Theater/Orchester(-management), Musik</t>
  </si>
  <si>
    <t>https://www.buehnenverein.de/de/jobboerse</t>
  </si>
  <si>
    <t>DTHG -  Deutsche Theatertechnische Gesellschaft</t>
  </si>
  <si>
    <t>Bühnentechnik</t>
  </si>
  <si>
    <t>https://jobs.dthg.de/</t>
  </si>
  <si>
    <t>KUPF Kulturplattform Stellenbörse</t>
  </si>
  <si>
    <t>https://kupf.at/kulturjobs/</t>
  </si>
  <si>
    <t>Institut für Kulturkonzepte Jobbörse</t>
  </si>
  <si>
    <t>https://kulturkonzepte.at</t>
  </si>
  <si>
    <t>Berater*innen</t>
  </si>
  <si>
    <t>Produkte</t>
  </si>
  <si>
    <t>Aktivitäten</t>
  </si>
  <si>
    <t>AM</t>
  </si>
  <si>
    <t>DP</t>
  </si>
  <si>
    <t>4.1 Akquise Mail</t>
  </si>
  <si>
    <t>4.2 Akquise Call</t>
  </si>
  <si>
    <t>CH</t>
  </si>
  <si>
    <t>4.3 Akquise Post</t>
  </si>
  <si>
    <t>4.6 Versand Angebot</t>
  </si>
  <si>
    <t>KEX/Strat</t>
  </si>
  <si>
    <t>4.7 Akquise Persönlich</t>
  </si>
  <si>
    <t>KIM</t>
  </si>
  <si>
    <t>5 CRM Mail</t>
  </si>
  <si>
    <t>5 CRM Call</t>
  </si>
  <si>
    <t>5 CRM Post</t>
  </si>
  <si>
    <t>5 CRM Treffen</t>
  </si>
  <si>
    <t>Zählenwenn</t>
  </si>
  <si>
    <t>5.4 Versand Magazin</t>
  </si>
  <si>
    <t>5.5 Versand Special</t>
  </si>
  <si>
    <t>Reaktionen auf Stellenbörsenbeobachtungen</t>
  </si>
  <si>
    <t>Reaktionen</t>
  </si>
  <si>
    <t>Ansprache DP:</t>
  </si>
  <si>
    <t>Ansprache KEX:</t>
  </si>
  <si>
    <t>Ansprache KP:</t>
  </si>
  <si>
    <t>Nein:</t>
  </si>
  <si>
    <t>Stellenbörsenbeobachtung &amp; Vertrieb
KEX- Personal</t>
  </si>
  <si>
    <t>Erledigt</t>
  </si>
  <si>
    <t>Offen</t>
  </si>
  <si>
    <t>Hold</t>
  </si>
  <si>
    <t>Übersicht der Stellenbörsen, die KEX-Berater*innen beobachten - Stand 11.02.2025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</si>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</sst>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0">
    <font>
      <sz val="11"/>
      <color theme="1"/>
      <name val="Aptos Narrow"/>
      <family val="2"/>
      <scheme val="minor"/>
    </font>
    <font>
      <sz val="12"/>
      <color theme="1"/>
      <name val="Brandon Text Regular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Brandon Text Regular"/>
      <family val="2"/>
    </font>
    <font>
      <sz val="12"/>
      <color theme="0"/>
      <name val="Brandon Text Regular"/>
      <family val="2"/>
    </font>
    <font>
      <sz val="11"/>
      <color theme="1"/>
      <name val="Brandon Text Regular"/>
      <family val="2"/>
    </font>
    <font>
      <sz val="12"/>
      <color rgb="FFFF0000"/>
      <name val="Brandon Text Regular"/>
      <family val="2"/>
    </font>
    <font>
      <sz val="12"/>
      <color theme="1"/>
      <name val="Brandon Text Regular"/>
    </font>
    <font>
      <u/>
      <sz val="12"/>
      <color theme="10"/>
      <name val="Brandon Text Regular"/>
      <family val="2"/>
    </font>
    <font>
      <sz val="11"/>
      <name val="Brandon Text Regular"/>
      <family val="2"/>
    </font>
    <font>
      <u/>
      <sz val="11"/>
      <color theme="10"/>
      <name val="Brandon Text Regular"/>
      <family val="2"/>
    </font>
    <font>
      <sz val="12"/>
      <color rgb="FF000000"/>
      <name val="Brandon Text Regular"/>
      <family val="2"/>
    </font>
    <font>
      <sz val="12"/>
      <color rgb="FF292B2C"/>
      <name val="Brandon Text Regular"/>
      <family val="2"/>
    </font>
    <font>
      <sz val="9"/>
      <color rgb="FF000000"/>
      <name val="Brandon Text Regular"/>
      <family val="2"/>
    </font>
    <font>
      <b/>
      <sz val="11"/>
      <color theme="1"/>
      <name val="Brandon Text Regular"/>
      <family val="2"/>
    </font>
    <font>
      <sz val="11"/>
      <color theme="1"/>
      <name val="Brandon Text Regular"/>
    </font>
    <font>
      <sz val="12"/>
      <color rgb="FF2F2F30"/>
      <name val="Brandon Text Regular"/>
      <family val="2"/>
    </font>
    <font>
      <b/>
      <sz val="14"/>
      <color theme="1"/>
      <name val="Brandon Text Regular"/>
      <family val="2"/>
    </font>
    <font>
      <sz val="12"/>
      <color rgb="FF000000"/>
      <name val="Brandon Text Regular"/>
    </font>
    <font>
      <sz val="12"/>
      <color rgb="FF2F2F30"/>
      <name val="Brandon Text Regular"/>
    </font>
    <font>
      <sz val="12"/>
      <color theme="5" tint="0.59999389629810485"/>
      <name val="Brandon Text Regular"/>
    </font>
    <font>
      <b/>
      <sz val="18"/>
      <color theme="1"/>
      <name val="Brandon Text Regular"/>
    </font>
    <font>
      <sz val="9"/>
      <color rgb="FF000000"/>
      <name val="Brandon Text Regular"/>
    </font>
    <font>
      <b/>
      <sz val="16"/>
      <color theme="1"/>
      <name val="Brandon Text Regular"/>
      <family val="2"/>
    </font>
    <font>
      <b/>
      <sz val="14"/>
      <name val="Brandon Text Regular"/>
      <family val="2"/>
    </font>
    <font>
      <u/>
      <sz val="11"/>
      <name val="Brandon Text Regular"/>
      <family val="2"/>
    </font>
    <font>
      <sz val="18"/>
      <name val="Brandon Text Regular"/>
      <family val="2"/>
    </font>
    <font>
      <sz val="12"/>
      <color rgb="FF001D35"/>
      <name val="Google Sans"/>
      <charset val="1"/>
    </font>
    <font>
      <sz val="18"/>
      <name val="Brandon Text Regula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00B050"/>
      </left>
      <right style="thick">
        <color rgb="FF00B050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4" fillId="3" borderId="3" xfId="0" applyFont="1" applyFill="1" applyBorder="1" applyAlignment="1">
      <alignment wrapText="1"/>
    </xf>
    <xf numFmtId="0" fontId="4" fillId="3" borderId="11" xfId="0" applyFont="1" applyFill="1" applyBorder="1"/>
    <xf numFmtId="0" fontId="6" fillId="0" borderId="4" xfId="0" applyFont="1" applyBorder="1"/>
    <xf numFmtId="14" fontId="4" fillId="0" borderId="16" xfId="0" applyNumberFormat="1" applyFont="1" applyBorder="1" applyAlignment="1">
      <alignment vertical="center"/>
    </xf>
    <xf numFmtId="14" fontId="4" fillId="0" borderId="4" xfId="0" applyNumberFormat="1" applyFont="1" applyBorder="1" applyAlignment="1">
      <alignment vertical="center"/>
    </xf>
    <xf numFmtId="0" fontId="4" fillId="3" borderId="10" xfId="0" applyFont="1" applyFill="1" applyBorder="1" applyAlignment="1">
      <alignment vertical="center" wrapText="1"/>
    </xf>
    <xf numFmtId="14" fontId="4" fillId="3" borderId="10" xfId="0" applyNumberFormat="1" applyFont="1" applyFill="1" applyBorder="1" applyAlignment="1">
      <alignment vertical="center"/>
    </xf>
    <xf numFmtId="14" fontId="4" fillId="3" borderId="11" xfId="0" applyNumberFormat="1" applyFont="1" applyFill="1" applyBorder="1" applyAlignment="1">
      <alignment horizontal="left" vertical="center"/>
    </xf>
    <xf numFmtId="0" fontId="4" fillId="3" borderId="11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9" fillId="0" borderId="4" xfId="1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8" borderId="12" xfId="0" applyFont="1" applyFill="1" applyBorder="1"/>
    <xf numFmtId="0" fontId="6" fillId="5" borderId="13" xfId="0" applyFont="1" applyFill="1" applyBorder="1"/>
    <xf numFmtId="0" fontId="10" fillId="6" borderId="13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9" fillId="0" borderId="4" xfId="1" applyFont="1" applyBorder="1" applyAlignment="1">
      <alignment vertical="center" wrapText="1"/>
    </xf>
    <xf numFmtId="14" fontId="6" fillId="0" borderId="4" xfId="0" applyNumberFormat="1" applyFont="1" applyBorder="1" applyAlignment="1">
      <alignment horizontal="right" vertical="center"/>
    </xf>
    <xf numFmtId="0" fontId="11" fillId="0" borderId="4" xfId="1" applyFont="1" applyFill="1" applyBorder="1" applyAlignment="1">
      <alignment vertical="center" wrapText="1"/>
    </xf>
    <xf numFmtId="14" fontId="6" fillId="0" borderId="4" xfId="0" applyNumberFormat="1" applyFont="1" applyBorder="1" applyAlignment="1">
      <alignment vertical="center"/>
    </xf>
    <xf numFmtId="0" fontId="2" fillId="0" borderId="4" xfId="1" applyBorder="1" applyAlignment="1">
      <alignment vertical="center" wrapText="1"/>
    </xf>
    <xf numFmtId="0" fontId="2" fillId="0" borderId="4" xfId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8" fillId="0" borderId="5" xfId="0" applyFont="1" applyBorder="1"/>
    <xf numFmtId="0" fontId="8" fillId="0" borderId="4" xfId="0" applyFont="1" applyBorder="1" applyAlignment="1">
      <alignment vertical="center" wrapText="1"/>
    </xf>
    <xf numFmtId="0" fontId="2" fillId="0" borderId="4" xfId="2" applyBorder="1" applyAlignment="1">
      <alignment vertical="center" wrapText="1"/>
    </xf>
    <xf numFmtId="0" fontId="2" fillId="0" borderId="4" xfId="2" applyFill="1" applyBorder="1" applyAlignment="1">
      <alignment vertical="center" wrapText="1"/>
    </xf>
    <xf numFmtId="0" fontId="2" fillId="0" borderId="0" xfId="1"/>
    <xf numFmtId="0" fontId="12" fillId="0" borderId="4" xfId="0" applyFont="1" applyBorder="1" applyAlignment="1">
      <alignment vertical="center" wrapText="1"/>
    </xf>
    <xf numFmtId="16" fontId="0" fillId="0" borderId="0" xfId="0" applyNumberFormat="1"/>
    <xf numFmtId="0" fontId="2" fillId="0" borderId="4" xfId="2" applyFill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14" fontId="2" fillId="0" borderId="4" xfId="1" applyNumberFormat="1" applyFill="1" applyBorder="1" applyAlignment="1">
      <alignment vertical="center" wrapText="1"/>
    </xf>
    <xf numFmtId="0" fontId="6" fillId="0" borderId="9" xfId="0" applyFont="1" applyBorder="1"/>
    <xf numFmtId="0" fontId="5" fillId="7" borderId="4" xfId="0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14" fontId="9" fillId="0" borderId="4" xfId="1" applyNumberFormat="1" applyFont="1" applyFill="1" applyBorder="1" applyAlignment="1">
      <alignment horizontal="right" vertical="center" wrapText="1"/>
    </xf>
    <xf numFmtId="14" fontId="6" fillId="0" borderId="4" xfId="0" applyNumberFormat="1" applyFont="1" applyBorder="1" applyAlignment="1">
      <alignment horizontal="right" vertical="center" wrapText="1"/>
    </xf>
    <xf numFmtId="0" fontId="8" fillId="8" borderId="4" xfId="0" applyFont="1" applyFill="1" applyBorder="1" applyAlignment="1">
      <alignment horizontal="center" vertical="center"/>
    </xf>
    <xf numFmtId="0" fontId="19" fillId="0" borderId="4" xfId="1" applyFont="1" applyBorder="1" applyAlignment="1">
      <alignment horizontal="left" vertical="center" wrapText="1"/>
    </xf>
    <xf numFmtId="0" fontId="2" fillId="0" borderId="8" xfId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17" fillId="0" borderId="4" xfId="0" applyFont="1" applyBorder="1" applyAlignment="1">
      <alignment horizontal="left" vertical="center" wrapText="1"/>
    </xf>
    <xf numFmtId="0" fontId="2" fillId="0" borderId="6" xfId="1" applyFill="1" applyBorder="1" applyAlignment="1">
      <alignment vertical="center" wrapText="1"/>
    </xf>
    <xf numFmtId="0" fontId="2" fillId="0" borderId="5" xfId="1" applyFill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14" fontId="8" fillId="0" borderId="4" xfId="0" applyNumberFormat="1" applyFont="1" applyBorder="1" applyAlignment="1">
      <alignment horizontal="right" vertical="center"/>
    </xf>
    <xf numFmtId="14" fontId="8" fillId="0" borderId="4" xfId="0" applyNumberFormat="1" applyFont="1" applyBorder="1" applyAlignment="1">
      <alignment horizontal="right" vertical="center" wrapText="1"/>
    </xf>
    <xf numFmtId="0" fontId="20" fillId="0" borderId="4" xfId="0" applyFont="1" applyBorder="1" applyAlignment="1">
      <alignment horizontal="left" vertical="center"/>
    </xf>
    <xf numFmtId="0" fontId="8" fillId="8" borderId="5" xfId="0" applyFont="1" applyFill="1" applyBorder="1" applyAlignment="1">
      <alignment horizontal="center" vertical="center"/>
    </xf>
    <xf numFmtId="14" fontId="8" fillId="0" borderId="4" xfId="0" applyNumberFormat="1" applyFont="1" applyBorder="1" applyAlignment="1">
      <alignment horizontal="left" vertical="center" wrapText="1"/>
    </xf>
    <xf numFmtId="0" fontId="16" fillId="0" borderId="4" xfId="0" applyFont="1" applyBorder="1"/>
    <xf numFmtId="0" fontId="21" fillId="8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2" fillId="0" borderId="0" xfId="1" applyBorder="1"/>
    <xf numFmtId="0" fontId="2" fillId="0" borderId="6" xfId="1" applyBorder="1"/>
    <xf numFmtId="0" fontId="2" fillId="0" borderId="6" xfId="1" applyBorder="1" applyAlignment="1">
      <alignment vertical="center" wrapText="1"/>
    </xf>
    <xf numFmtId="0" fontId="8" fillId="0" borderId="21" xfId="0" applyFont="1" applyBorder="1" applyAlignment="1">
      <alignment horizontal="center" vertical="center"/>
    </xf>
    <xf numFmtId="0" fontId="16" fillId="0" borderId="7" xfId="0" applyFont="1" applyBorder="1"/>
    <xf numFmtId="0" fontId="2" fillId="0" borderId="8" xfId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4" fontId="23" fillId="0" borderId="4" xfId="0" applyNumberFormat="1" applyFont="1" applyBorder="1" applyAlignment="1">
      <alignment horizontal="right" vertical="center" wrapText="1"/>
    </xf>
    <xf numFmtId="14" fontId="12" fillId="0" borderId="4" xfId="0" applyNumberFormat="1" applyFont="1" applyBorder="1" applyAlignment="1">
      <alignment horizontal="right" vertical="center" wrapText="1"/>
    </xf>
    <xf numFmtId="14" fontId="14" fillId="0" borderId="4" xfId="0" applyNumberFormat="1" applyFont="1" applyBorder="1" applyAlignment="1">
      <alignment horizontal="right" vertical="center" wrapText="1"/>
    </xf>
    <xf numFmtId="0" fontId="25" fillId="6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26" fillId="0" borderId="4" xfId="2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27" fillId="6" borderId="4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11" fillId="0" borderId="4" xfId="1" applyFont="1" applyBorder="1" applyAlignment="1">
      <alignment horizontal="left" vertical="center" wrapText="1"/>
    </xf>
    <xf numFmtId="0" fontId="27" fillId="5" borderId="4" xfId="0" applyFont="1" applyFill="1" applyBorder="1" applyAlignment="1">
      <alignment horizontal="center" vertical="center"/>
    </xf>
    <xf numFmtId="0" fontId="11" fillId="0" borderId="4" xfId="2" applyFont="1" applyBorder="1" applyAlignment="1">
      <alignment horizontal="left" vertical="center" wrapText="1"/>
    </xf>
    <xf numFmtId="49" fontId="27" fillId="5" borderId="4" xfId="0" applyNumberFormat="1" applyFont="1" applyFill="1" applyBorder="1" applyAlignment="1">
      <alignment horizontal="center" vertical="center"/>
    </xf>
    <xf numFmtId="0" fontId="11" fillId="0" borderId="4" xfId="1" applyFont="1" applyFill="1" applyBorder="1" applyAlignment="1">
      <alignment horizontal="left" vertical="center"/>
    </xf>
    <xf numFmtId="49" fontId="27" fillId="5" borderId="4" xfId="0" applyNumberFormat="1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26" fillId="0" borderId="0" xfId="2" applyFont="1" applyBorder="1" applyAlignment="1">
      <alignment horizontal="left" vertical="center" wrapText="1"/>
    </xf>
    <xf numFmtId="49" fontId="27" fillId="6" borderId="8" xfId="0" applyNumberFormat="1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25" fillId="6" borderId="9" xfId="0" applyFont="1" applyFill="1" applyBorder="1" applyAlignment="1">
      <alignment horizontal="center" vertical="center"/>
    </xf>
    <xf numFmtId="49" fontId="27" fillId="6" borderId="4" xfId="0" applyNumberFormat="1" applyFont="1" applyFill="1" applyBorder="1" applyAlignment="1">
      <alignment horizontal="center" vertical="center" wrapText="1"/>
    </xf>
    <xf numFmtId="0" fontId="26" fillId="0" borderId="4" xfId="2" applyFont="1" applyBorder="1" applyAlignment="1">
      <alignment vertical="center"/>
    </xf>
    <xf numFmtId="0" fontId="4" fillId="3" borderId="22" xfId="0" applyFont="1" applyFill="1" applyBorder="1" applyAlignment="1">
      <alignment wrapText="1"/>
    </xf>
    <xf numFmtId="0" fontId="15" fillId="0" borderId="4" xfId="0" applyFont="1" applyBorder="1" applyAlignment="1">
      <alignment horizontal="center"/>
    </xf>
    <xf numFmtId="0" fontId="0" fillId="0" borderId="2" xfId="0" applyBorder="1"/>
    <xf numFmtId="0" fontId="0" fillId="0" borderId="23" xfId="0" applyBorder="1"/>
    <xf numFmtId="0" fontId="6" fillId="0" borderId="24" xfId="0" applyFont="1" applyBorder="1"/>
    <xf numFmtId="0" fontId="15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" fontId="1" fillId="0" borderId="16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vertical="center" wrapText="1"/>
    </xf>
    <xf numFmtId="14" fontId="1" fillId="7" borderId="4" xfId="0" applyNumberFormat="1" applyFont="1" applyFill="1" applyBorder="1" applyAlignment="1">
      <alignment vertical="center"/>
    </xf>
    <xf numFmtId="14" fontId="1" fillId="7" borderId="4" xfId="0" applyNumberFormat="1" applyFont="1" applyFill="1" applyBorder="1" applyAlignment="1">
      <alignment horizontal="right" vertical="center"/>
    </xf>
    <xf numFmtId="49" fontId="1" fillId="7" borderId="4" xfId="0" applyNumberFormat="1" applyFont="1" applyFill="1" applyBorder="1" applyAlignment="1">
      <alignment vertical="center" wrapText="1"/>
    </xf>
    <xf numFmtId="0" fontId="1" fillId="7" borderId="5" xfId="0" applyFont="1" applyFill="1" applyBorder="1"/>
    <xf numFmtId="0" fontId="1" fillId="8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right" vertical="center"/>
    </xf>
    <xf numFmtId="14" fontId="1" fillId="0" borderId="4" xfId="0" applyNumberFormat="1" applyFont="1" applyBorder="1" applyAlignment="1">
      <alignment horizontal="right" vertical="center" wrapText="1"/>
    </xf>
    <xf numFmtId="49" fontId="1" fillId="0" borderId="4" xfId="0" applyNumberFormat="1" applyFont="1" applyBorder="1" applyAlignment="1">
      <alignment vertical="center" wrapText="1"/>
    </xf>
    <xf numFmtId="0" fontId="1" fillId="0" borderId="5" xfId="0" applyFont="1" applyBorder="1"/>
    <xf numFmtId="0" fontId="1" fillId="0" borderId="4" xfId="0" applyFont="1" applyBorder="1" applyAlignment="1">
      <alignment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 wrapText="1"/>
    </xf>
    <xf numFmtId="14" fontId="1" fillId="7" borderId="4" xfId="0" applyNumberFormat="1" applyFont="1" applyFill="1" applyBorder="1" applyAlignment="1">
      <alignment horizontal="right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14" fontId="1" fillId="0" borderId="8" xfId="0" applyNumberFormat="1" applyFont="1" applyBorder="1" applyAlignment="1">
      <alignment horizontal="right" vertical="center"/>
    </xf>
    <xf numFmtId="14" fontId="1" fillId="0" borderId="8" xfId="0" applyNumberFormat="1" applyFont="1" applyBorder="1" applyAlignment="1">
      <alignment horizontal="right" vertical="center" wrapText="1"/>
    </xf>
    <xf numFmtId="0" fontId="1" fillId="0" borderId="8" xfId="0" applyFont="1" applyBorder="1" applyAlignment="1">
      <alignment vertical="center" wrapText="1"/>
    </xf>
    <xf numFmtId="0" fontId="1" fillId="8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14" fontId="1" fillId="0" borderId="5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 wrapText="1"/>
    </xf>
    <xf numFmtId="0" fontId="1" fillId="11" borderId="5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left" vertical="center" wrapText="1"/>
    </xf>
    <xf numFmtId="14" fontId="1" fillId="10" borderId="4" xfId="0" applyNumberFormat="1" applyFont="1" applyFill="1" applyBorder="1" applyAlignment="1">
      <alignment horizontal="right" vertical="center" wrapText="1"/>
    </xf>
    <xf numFmtId="0" fontId="1" fillId="12" borderId="4" xfId="0" applyFont="1" applyFill="1" applyBorder="1" applyAlignment="1">
      <alignment horizontal="left" vertical="center" wrapText="1"/>
    </xf>
    <xf numFmtId="14" fontId="1" fillId="0" borderId="6" xfId="0" applyNumberFormat="1" applyFont="1" applyBorder="1" applyAlignment="1">
      <alignment horizontal="right" vertical="center" wrapText="1"/>
    </xf>
    <xf numFmtId="14" fontId="1" fillId="0" borderId="5" xfId="0" applyNumberFormat="1" applyFont="1" applyBorder="1" applyAlignment="1">
      <alignment horizontal="right" vertical="center" wrapText="1"/>
    </xf>
    <xf numFmtId="0" fontId="1" fillId="9" borderId="5" xfId="0" applyFont="1" applyFill="1" applyBorder="1" applyAlignment="1">
      <alignment horizontal="center" vertical="center"/>
    </xf>
    <xf numFmtId="0" fontId="28" fillId="0" borderId="0" xfId="0" applyFont="1"/>
    <xf numFmtId="0" fontId="1" fillId="0" borderId="7" xfId="0" applyFont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8" fillId="5" borderId="21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left" vertical="center" wrapText="1"/>
    </xf>
    <xf numFmtId="49" fontId="29" fillId="5" borderId="4" xfId="0" applyNumberFormat="1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2" fillId="0" borderId="4" xfId="2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9" fillId="0" borderId="8" xfId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8" borderId="21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/>
    </xf>
    <xf numFmtId="0" fontId="1" fillId="0" borderId="29" xfId="0" applyFont="1" applyBorder="1" applyAlignment="1">
      <alignment horizontal="left" vertical="center" wrapText="1"/>
    </xf>
    <xf numFmtId="0" fontId="2" fillId="0" borderId="8" xfId="2" applyBorder="1" applyAlignment="1">
      <alignment vertical="center" wrapText="1"/>
    </xf>
    <xf numFmtId="0" fontId="16" fillId="0" borderId="8" xfId="0" applyFont="1" applyBorder="1"/>
    <xf numFmtId="0" fontId="1" fillId="7" borderId="4" xfId="0" applyFont="1" applyFill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1" fillId="7" borderId="4" xfId="0" applyFont="1" applyFill="1" applyBorder="1" applyAlignment="1">
      <alignment horizontal="right" vertical="center"/>
    </xf>
    <xf numFmtId="0" fontId="1" fillId="0" borderId="4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/>
    </xf>
  </cellXfs>
  <cellStyles count="3">
    <cellStyle name="Hyperlink" xfId="1" xr:uid="{00000000-000B-0000-0000-000008000000}"/>
    <cellStyle name="Link" xfId="2" builtinId="8"/>
    <cellStyle name="Standard" xfId="0" builtinId="0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randon Text Regular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numFmt numFmtId="19" formatCode="dd/mm/yyyy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numFmt numFmtId="19" formatCode="dd/mm/yyyy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ck">
          <color rgb="FF00B050"/>
        </left>
        <right style="thick">
          <color rgb="FF00B050"/>
        </right>
        <top style="thin">
          <color indexed="64"/>
        </top>
        <bottom style="thick">
          <color rgb="FF00B0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randon Text Regular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</dxfs>
  <tableStyles count="4" defaultTableStyle="TableStyleMedium2" defaultPivotStyle="PivotStyleLight16">
    <tableStyle name="tbl_Ausschreibungsfrequenz" pivot="0" count="0" xr9:uid="{8F7DEAF8-270D-46FB-A1C2-FB85468FC150}"/>
    <tableStyle name="tbl_Quellenliste" pivot="0" count="0" xr9:uid="{33B2E5D4-F7FB-47B9-857F-9BC5804C31F4}"/>
    <tableStyle name="tbl_Rollenlogik" pivot="0" count="0" xr9:uid="{019820D9-F08E-470A-AC44-5A3C5241646B}"/>
    <tableStyle name="tbl_Stellenbeobachtung" pivot="0" count="0" xr9:uid="{47DF1989-B4AE-46F0-B62D-AC3D467AE7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81ED6-6862-4173-80E3-C6936B28B8FE}" name="Tabelle2" displayName="Tabelle2" ref="A1:N149" totalsRowShown="0" headerRowBorderDxfId="17" tableBorderDxfId="16">
  <autoFilter ref="A1:N149" xr:uid="{67081ED6-6862-4173-80E3-C6936B28B8FE}"/>
  <tableColumns count="14">
    <tableColumn id="1" xr3:uid="{922ED959-046B-4F7D-ADC7-4B208DAC58B0}" name="Produkt" dataDxfId="15"/>
    <tableColumn id="2" xr3:uid="{6ED9C8FF-6D5C-4CBA-8D38-20EC5F3821AD}" name="Berater*in"/>
    <tableColumn id="3" xr3:uid="{D3659097-4009-48E3-9809-E3E47C07C5C7}" name="Titel der Stelle" dataDxfId="14"/>
    <tableColumn id="4" xr3:uid="{02DF8199-911D-49A6-A35E-A138AF73B064}" name="Arbeitgeber / Institution" dataDxfId="13"/>
    <tableColumn id="12" xr3:uid="{29FD24B9-0545-4A68-9919-269955E97F16}" name="Ort" dataDxfId="12"/>
    <tableColumn id="11" xr3:uid="{D1D16B71-5ABE-47E7-B489-F42FC6A411FF}" name="Bundesland / Land" dataDxfId="11"/>
    <tableColumn id="5" xr3:uid="{E3599B7A-4539-442D-9586-60608388927F}" name="Ansprechperson _x000a_(nach Möglichkeit Entscheider / kursiv = nach Recherche)" dataDxfId="10"/>
    <tableColumn id="6" xr3:uid="{1BA18494-56DF-4BC9-AAFE-C3366E0176B7}" name="Bewerbungsfrist" dataDxfId="9"/>
    <tableColumn id="7" xr3:uid="{3031B911-2B70-43F7-9C18-E097224CBC46}" name="Status" dataDxfId="8"/>
    <tableColumn id="8" xr3:uid="{31715491-B397-41AD-8577-19D0DC469D2D}" name="Rückmeldung / Follow-Up" dataDxfId="7"/>
    <tableColumn id="9" xr3:uid="{1A013388-BA63-48AF-B878-278A1EA1C920}" name="Link zur Ausschreibung" dataDxfId="6" dataCellStyle="Link"/>
    <tableColumn id="10" xr3:uid="{605F7C9A-6254-4BC0-97FF-00D18D927E64}" name="Institution zuletzt aufgenommen in Zeile:" dataDxfId="5">
      <calculatedColumnFormula array="1">IFERROR(_xlfn.TEXTJOIN(", ", TRUE, IF(ISNUMBER(SEARCH(D2, D:D)), ROW(D:D), "")), "Kein Treffer")</calculatedColumnFormula>
    </tableColumn>
    <tableColumn id="13" xr3:uid="{BA0F4E37-487A-45EA-AB02-1E5F242FB14E}" name="Score" dataDxfId="4"/>
    <tableColumn id="14" xr3:uid="{6048E467-25F4-4B64-9333-6110EE8E3C8C}" name="Relevant" dataDxfId="3"/>
  </tableColumns>
  <tableStyleInfo name="tbl_Stellenbeobachtung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5B95B-068C-4C91-92A8-FACA711B4060}" name="Tabelle1" displayName="Tabelle1" ref="A1:G1048576" totalsRowShown="0" tableBorderDxfId="2">
  <autoFilter ref="A1:G1048576" xr:uid="{5AB5B95B-068C-4C91-92A8-FACA711B4060}"/>
  <tableColumns count="7">
    <tableColumn id="1" xr3:uid="{A36D0917-1EB3-41BF-A4D5-C8FB195196B4}" name="Anzahl"/>
    <tableColumn id="2" xr3:uid="{B02B93D4-05D4-402B-A608-5F142CF61E98}" name="Quelle"/>
    <tableColumn id="3" xr3:uid="{35762573-345E-4356-808B-6B425EC13130}" name="Schwerpunkt"/>
    <tableColumn id="4" xr3:uid="{4A14F640-048C-4714-BFF1-BB3150F80FAE}" name="URL"/>
    <tableColumn id="5" xr3:uid="{950BE3DA-36D9-4185-BF8A-CD5B098A736B}" name="Berater*in"/>
    <tableColumn id="6" xr3:uid="{170C38CF-C30E-45E8-9DB5-72654B64B422}" name="Pilotstatus"/>
    <tableColumn id="7" xr3:uid="{41029E83-DA34-40EB-A5D2-7E5E3193BEFE}" name="Abrufmethode"/>
  </tableColumns>
  <tableStyleInfo name="tbl_Quellenlist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E81DDC-4351-423A-BF1D-C7A7B67CDA3E}" name="Tabelle3" displayName="Tabelle3" ref="A1:C1048576" totalsRowShown="0">
  <autoFilter ref="A1:C1048576" xr:uid="{F0E81DDC-4351-423A-BF1D-C7A7B67CDA3E}"/>
  <tableColumns count="3">
    <tableColumn id="1" xr3:uid="{EAEE7ACE-B8FE-4F75-9708-449E24B7387E}" name="Berater*innen"/>
    <tableColumn id="2" xr3:uid="{CEF243B7-3CFA-4057-824B-FB9D119386A5}" name="Produkte"/>
    <tableColumn id="3" xr3:uid="{9181ED53-9281-4A54-A99F-BA024C294FAC}" name="Aktivitäten"/>
  </tableColumns>
  <tableStyleInfo name="tbl_Rollenlogik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2F1B3E-F0E2-405A-AAB2-4A82F806CE66}" name="Tabelle4" displayName="Tabelle4" ref="A1:C1048576" totalsRowShown="0">
  <autoFilter ref="A1:C1048576" xr:uid="{462F1B3E-F0E2-405A-AAB2-4A82F806CE66}"/>
  <tableColumns count="3">
    <tableColumn id="1" xr3:uid="{22F36695-598C-4E35-A692-9C68994D4286}" name="a"/>
    <tableColumn id="2" xr3:uid="{5E216607-F00A-44FD-9800-DD51D1A31388}" name="b"/>
    <tableColumn id="3" xr3:uid="{2991D2C7-520F-44E8-8A90-7B0BC3ADF576}" name="c"/>
  </tableColumns>
  <tableStyleInfo name="tbl_Ausschreibungsfrequenz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eutsches-museum.de/museum/ueber-uns/karriere/stellenangebote" TargetMode="External"/><Relationship Id="rId117" Type="http://schemas.openxmlformats.org/officeDocument/2006/relationships/hyperlink" Target="https://www.buehnenverein.de/de/jobboerse/leitung-des-kunstlerischen-betriebsburos-kbb-mwd/2191" TargetMode="External"/><Relationship Id="rId21" Type="http://schemas.openxmlformats.org/officeDocument/2006/relationships/hyperlink" Target="https://www.theater-chemnitz.de/service/stellenangebote" TargetMode="External"/><Relationship Id="rId42" Type="http://schemas.openxmlformats.org/officeDocument/2006/relationships/hyperlink" Target="https://bernau-bei-berlin.ris-portal.de/web/guest/detail/-/stelle/detail/museumsleitung-w-m-d-" TargetMode="External"/><Relationship Id="rId47" Type="http://schemas.openxmlformats.org/officeDocument/2006/relationships/hyperlink" Target="https://cdn0.scrvt.com/d19207df10fc2c2113c58b2103007ce0/9d5092bd5ee32ba6/4d537e067d35/Ausschreibung-SB-Kultur-und-Veranstaltungsmanagement.pdf" TargetMode="External"/><Relationship Id="rId63" Type="http://schemas.openxmlformats.org/officeDocument/2006/relationships/hyperlink" Target="https://interamt.de/koop/app/crypt.Aksupo5worgMzvJcTtrs_Q/Aks28" TargetMode="External"/><Relationship Id="rId68" Type="http://schemas.openxmlformats.org/officeDocument/2006/relationships/hyperlink" Target="https://interamt.de/koop/app/crypt.rnp_EofKW6tD9ahaARf7Wg/rnp83" TargetMode="External"/><Relationship Id="rId84" Type="http://schemas.openxmlformats.org/officeDocument/2006/relationships/hyperlink" Target="https://www.kelheim.de/stellenangebote/leitung-des-fachbereichs-tourismus-wirtschaft-marketing-kultur-m-w-d-in-vollzeit-unbefristet/" TargetMode="External"/><Relationship Id="rId89" Type="http://schemas.openxmlformats.org/officeDocument/2006/relationships/hyperlink" Target="https://www.stiftungen.org/jobs/stellenanzeige/kustode-m-w-d-graphische-sammlungen-bauhaus-moderne-gegenwart-1860-bis-heute-15879.html" TargetMode="External"/><Relationship Id="rId112" Type="http://schemas.openxmlformats.org/officeDocument/2006/relationships/hyperlink" Target="https://interamt.de/koop/app/crypt.X7zuQ2wz3tLFmmtebO9r0g/X7z1a" TargetMode="External"/><Relationship Id="rId16" Type="http://schemas.openxmlformats.org/officeDocument/2006/relationships/hyperlink" Target="https://karriere.duisburg.de/jobposting/3e33272ca864148a7c6f02f48f694631787b9ab80" TargetMode="External"/><Relationship Id="rId107" Type="http://schemas.openxmlformats.org/officeDocument/2006/relationships/hyperlink" Target="https://roedermark.de/fileadmin/Stadt_und_Stadtverwaltung/Stadtverwaltung/Stellenanzeigen/2026-02-17_Stellenausschreibung_FBL5_Nr2.pdf" TargetMode="External"/><Relationship Id="rId11" Type="http://schemas.openxmlformats.org/officeDocument/2006/relationships/hyperlink" Target="https://www.monheimer-kulturwerke.de/de/stellenangebote/dramaturgin-theater-familienprogramm" TargetMode="External"/><Relationship Id="rId32" Type="http://schemas.openxmlformats.org/officeDocument/2006/relationships/hyperlink" Target="https://drive.google.com/file/d/19TUeo6YqjZObQ127Wbo2VJS8lElr-4Hh/view" TargetMode="External"/><Relationship Id="rId37" Type="http://schemas.openxmlformats.org/officeDocument/2006/relationships/hyperlink" Target="https://karriere.renchen.de/jobposting/2b7cba58f5ab90f707324358c5d99494fc5c99980?ref=homepage" TargetMode="External"/><Relationship Id="rId53" Type="http://schemas.openxmlformats.org/officeDocument/2006/relationships/hyperlink" Target="https://werkleitz.de/media/pages/stellen/e5268152aa-1769169053/emap_stellenausschreibung_2601.pdf" TargetMode="External"/><Relationship Id="rId58" Type="http://schemas.openxmlformats.org/officeDocument/2006/relationships/hyperlink" Target="https://www.deutsche-kinemathek.de/de/kinemathek/jobs" TargetMode="External"/><Relationship Id="rId74" Type="http://schemas.openxmlformats.org/officeDocument/2006/relationships/hyperlink" Target="https://www.kulturrat.de/stellenausschreibung/referentin-kommunikation/" TargetMode="External"/><Relationship Id="rId79" Type="http://schemas.openxmlformats.org/officeDocument/2006/relationships/hyperlink" Target="https://lhr03-portal.owl-it.de/bewerber-web/?xsrf=E59986D512727B7F3BD5D79A48175200&amp;company=0230-FIRMA-ID&amp;tenant=&amp;lang=D&amp;canShare=true&amp;Uid=" TargetMode="External"/><Relationship Id="rId102" Type="http://schemas.openxmlformats.org/officeDocument/2006/relationships/hyperlink" Target="https://fotostiftung.ch/wp-content/uploads/2026/02/260106_inserat_fss_ausschreibung_kommunikation_fundraising-1.pdf" TargetMode="External"/><Relationship Id="rId123" Type="http://schemas.openxmlformats.org/officeDocument/2006/relationships/hyperlink" Target="https://www.buehnenverein.de/de/jobboerse/leiterin-controlling-dmw/2044" TargetMode="External"/><Relationship Id="rId5" Type="http://schemas.openxmlformats.org/officeDocument/2006/relationships/hyperlink" Target="https://interamt.de/koop/app/stelle?0&amp;id=1393498" TargetMode="External"/><Relationship Id="rId90" Type="http://schemas.openxmlformats.org/officeDocument/2006/relationships/hyperlink" Target="https://www.kultweet.de/jobs/Staatsphilharmonie_RLP_Presse_Vertretung_online.pdf" TargetMode="External"/><Relationship Id="rId95" Type="http://schemas.openxmlformats.org/officeDocument/2006/relationships/hyperlink" Target="https://stadtfrankfurtjobs.de/abteilungsleiterin-wmd-oeffentlichkeitsarbeit-de-j9977.html" TargetMode="External"/><Relationship Id="rId22" Type="http://schemas.openxmlformats.org/officeDocument/2006/relationships/hyperlink" Target="https://technologiestiftung-berlin.jobs.personio.de/job/2490040?language=de%3Flanguage%3D&amp;display=de" TargetMode="External"/><Relationship Id="rId27" Type="http://schemas.openxmlformats.org/officeDocument/2006/relationships/hyperlink" Target="https://bdkv.de/wp-content/uploads/2025/12/SC_TL_Oberhausen_1225_bdkv.pdf" TargetMode="External"/><Relationship Id="rId43" Type="http://schemas.openxmlformats.org/officeDocument/2006/relationships/hyperlink" Target="https://www.museumsbund.de/stellenangebote/leitung-des-dokumentations-und-informationszentrums-im-haus-schlesien/" TargetMode="External"/><Relationship Id="rId48" Type="http://schemas.openxmlformats.org/officeDocument/2006/relationships/hyperlink" Target="https://das-festspielhaus.de/assistentin-des-theaterleiters-m-w-d/" TargetMode="External"/><Relationship Id="rId64" Type="http://schemas.openxmlformats.org/officeDocument/2006/relationships/hyperlink" Target="https://interamt.de/koop/app/crypt.rnp_EofKW6vbtv9eKM_K6g/rnp83" TargetMode="External"/><Relationship Id="rId69" Type="http://schemas.openxmlformats.org/officeDocument/2006/relationships/hyperlink" Target="https://interamt.de/koop/app/crypt.rnp_EofKW6uvtRA5QdRluA/rnp83" TargetMode="External"/><Relationship Id="rId113" Type="http://schemas.openxmlformats.org/officeDocument/2006/relationships/hyperlink" Target="https://interamt.de/koop/app/crypt.X7zuQ2wz3tI-vXbOvH0Vqw/X7z1a" TargetMode="External"/><Relationship Id="rId118" Type="http://schemas.openxmlformats.org/officeDocument/2006/relationships/hyperlink" Target="https://www.buehnenverein.de/de/jobboerse/geschaftsfuhrende-intendanz-wmd/2158" TargetMode="External"/><Relationship Id="rId80" Type="http://schemas.openxmlformats.org/officeDocument/2006/relationships/hyperlink" Target="https://www.kunststiftung-sachsen-anhalt.de/stellenausschreibung-oeffentlichkeitsarbeit/" TargetMode="External"/><Relationship Id="rId85" Type="http://schemas.openxmlformats.org/officeDocument/2006/relationships/hyperlink" Target="https://museumsverband-thueringen.de/wp-content/uploads/2026/02/2026_Ausschreibung_Leiter_Sammlung_und-Restaurierung.pdf" TargetMode="External"/><Relationship Id="rId12" Type="http://schemas.openxmlformats.org/officeDocument/2006/relationships/hyperlink" Target="https://arthist.net/archive/51419" TargetMode="External"/><Relationship Id="rId17" Type="http://schemas.openxmlformats.org/officeDocument/2006/relationships/hyperlink" Target="https://karriere.niedersachsen.de/stellenausschreibungen/verwaltungsdirektion-staatstheater-braunschweig-114057.html" TargetMode="External"/><Relationship Id="rId33" Type="http://schemas.openxmlformats.org/officeDocument/2006/relationships/hyperlink" Target="https://www.mein-check-in.de/herne/position-506337" TargetMode="External"/><Relationship Id="rId38" Type="http://schemas.openxmlformats.org/officeDocument/2006/relationships/hyperlink" Target="https://bewerbungen-online-info.pi-asp.de/bewerber-web/?xsrf=6A53B43B9A1DD4BDE8BDAC43600D2519&amp;company=240-FIRMA-ID&amp;tenant=2&amp;lang=D" TargetMode="External"/><Relationship Id="rId59" Type="http://schemas.openxmlformats.org/officeDocument/2006/relationships/hyperlink" Target="https://www.deutsche-kinemathek.de/de/kinemathek/jobs" TargetMode="External"/><Relationship Id="rId103" Type="http://schemas.openxmlformats.org/officeDocument/2006/relationships/hyperlink" Target="https://www.mein-check-in.de/lohr/position-411210" TargetMode="External"/><Relationship Id="rId108" Type="http://schemas.openxmlformats.org/officeDocument/2006/relationships/hyperlink" Target="https://www.mdw.ac.at/bewerbungsportal/verwaltung/349" TargetMode="External"/><Relationship Id="rId124" Type="http://schemas.openxmlformats.org/officeDocument/2006/relationships/hyperlink" Target="https://www.buehnenverein.de/de/jobboerse/leiterin-controlling-dmw/2044" TargetMode="External"/><Relationship Id="rId54" Type="http://schemas.openxmlformats.org/officeDocument/2006/relationships/hyperlink" Target="https://jobs.salzburgerfestspiele.at/Mitarbeiterin-im-Konzertbuero-mwd-de-j646.html" TargetMode="External"/><Relationship Id="rId70" Type="http://schemas.openxmlformats.org/officeDocument/2006/relationships/hyperlink" Target="https://www.kultweet.de/jobs/Musikkultur_Rheinsberg_Leitung_Produktion_Betriebsmanagement.pdf" TargetMode="External"/><Relationship Id="rId75" Type="http://schemas.openxmlformats.org/officeDocument/2006/relationships/hyperlink" Target="https://www.theater-magdeburg.de/kontakt-infos/jobs/pressereferentin-wmd/" TargetMode="External"/><Relationship Id="rId91" Type="http://schemas.openxmlformats.org/officeDocument/2006/relationships/hyperlink" Target="https://recruitingapp-5327.de.umantis.com/Vacancies/5174/Description/1" TargetMode="External"/><Relationship Id="rId96" Type="http://schemas.openxmlformats.org/officeDocument/2006/relationships/hyperlink" Target="https://www.deutschestheater.de/fileadmin/2025_26_Spielzeit/00_Aktuelles/Jobs___Ausschreibungen/Ausschreibung_Leiter_in_Kommunikation_mwd_260224.pdf" TargetMode="External"/><Relationship Id="rId1" Type="http://schemas.openxmlformats.org/officeDocument/2006/relationships/hyperlink" Target="https://oper-in-berlin.softgarden.io/job/61478307?l=de" TargetMode="External"/><Relationship Id="rId6" Type="http://schemas.openxmlformats.org/officeDocument/2006/relationships/hyperlink" Target="https://bernau-bei-berlin.ris-portal.de/web/guest/detail/-/stelle/detail/museumsleitung-w-m-d-" TargetMode="External"/><Relationship Id="rId23" Type="http://schemas.openxmlformats.org/officeDocument/2006/relationships/hyperlink" Target="https://www.kultweet.de/jobs/JMF_Verwaltung.pdf" TargetMode="External"/><Relationship Id="rId28" Type="http://schemas.openxmlformats.org/officeDocument/2006/relationships/hyperlink" Target="mailto:j.hahn@stadt-dbr.de" TargetMode="External"/><Relationship Id="rId49" Type="http://schemas.openxmlformats.org/officeDocument/2006/relationships/hyperlink" Target="https://ciaesagranda.ch/wp-content/uploads/2026/01/D_Stellenausschreibung_Leitung-MCG.pdf" TargetMode="External"/><Relationship Id="rId114" Type="http://schemas.openxmlformats.org/officeDocument/2006/relationships/hyperlink" Target="https://www.museumsbund.de/stellenangebote/referent-in-fuer-pr-und-marketing-im-paula-modersohn-becker-museum/" TargetMode="External"/><Relationship Id="rId119" Type="http://schemas.openxmlformats.org/officeDocument/2006/relationships/hyperlink" Target="https://www.buehnenverein.de/de/jobboerse/direktorin-human-resources-mwd/2205" TargetMode="External"/><Relationship Id="rId44" Type="http://schemas.openxmlformats.org/officeDocument/2006/relationships/hyperlink" Target="https://interamt.de/koop/app/stelle?11&amp;id=1406661" TargetMode="External"/><Relationship Id="rId60" Type="http://schemas.openxmlformats.org/officeDocument/2006/relationships/hyperlink" Target="https://www.deichtorhallen.de/de/jobs/ausstellungsmanager-m-w-d-funktionszusatz-stellvertretende-kuratorische-leitung-in-der-halle-fuer-aktuelle-kunst" TargetMode="External"/><Relationship Id="rId65" Type="http://schemas.openxmlformats.org/officeDocument/2006/relationships/hyperlink" Target="https://interamt.de/koop/app/crypt.rnp_EofKW6tiLZzfet8i3w/rnp83" TargetMode="External"/><Relationship Id="rId81" Type="http://schemas.openxmlformats.org/officeDocument/2006/relationships/hyperlink" Target="https://www.hdgbw.de/jobs/" TargetMode="External"/><Relationship Id="rId86" Type="http://schemas.openxmlformats.org/officeDocument/2006/relationships/hyperlink" Target="https://www.festwochen.at/stellenausschreibung-programmkoordination-kuenstlerisches-betriebsbuero" TargetMode="External"/><Relationship Id="rId13" Type="http://schemas.openxmlformats.org/officeDocument/2006/relationships/hyperlink" Target="https://www.stiftungen.org/jobs/stellenanzeige/director-finanzen-und-controlling-15714.html" TargetMode="External"/><Relationship Id="rId18" Type="http://schemas.openxmlformats.org/officeDocument/2006/relationships/hyperlink" Target="https://www.rvr.ruhr/politik-regionalverband/ueber-uns/startseite-karriere/" TargetMode="External"/><Relationship Id="rId39" Type="http://schemas.openxmlformats.org/officeDocument/2006/relationships/hyperlink" Target="https://tanzhausbasel.ch/wp-content/uploads/2026/01/20260119_stellenausschreibung_kommunikation.pdf" TargetMode="External"/><Relationship Id="rId109" Type="http://schemas.openxmlformats.org/officeDocument/2006/relationships/hyperlink" Target="https://stadtfrankfurtjobs.de/Leiterin-wmd-Filmforum-Hoechst-de-j10437.html?sid=8e52fa59687e1275e0df78317d1c0413" TargetMode="External"/><Relationship Id="rId34" Type="http://schemas.openxmlformats.org/officeDocument/2006/relationships/hyperlink" Target="https://www.stiftung-friedenstein.de/sites/default/files/downloads/2026_ausschreibung_leitung_marketing_und_vermittlung.pdf" TargetMode="External"/><Relationship Id="rId50" Type="http://schemas.openxmlformats.org/officeDocument/2006/relationships/hyperlink" Target="https://thaff-thueringen.de/Stellenangebote/bildungsvermittlung-museumspaedagogik" TargetMode="External"/><Relationship Id="rId55" Type="http://schemas.openxmlformats.org/officeDocument/2006/relationships/hyperlink" Target="https://kunsthaus-zuerich.abacuscity.ch/de/job_1_100233/Leiter%3Ain-Vermittlung-%26-Public-Program%2C-100%25" TargetMode="External"/><Relationship Id="rId76" Type="http://schemas.openxmlformats.org/officeDocument/2006/relationships/hyperlink" Target="https://www.mein-check-in.de/goeppingen/position-508764" TargetMode="External"/><Relationship Id="rId97" Type="http://schemas.openxmlformats.org/officeDocument/2006/relationships/hyperlink" Target="https://www.zeppelin-museum.de/museum/jobs-karriere?accordion=pressereferentin" TargetMode="External"/><Relationship Id="rId104" Type="http://schemas.openxmlformats.org/officeDocument/2006/relationships/hyperlink" Target="https://deutsches-spionagemuseum.softgarden.io/job/62965549/Kommunikationsmanager-Pressesprecher-m-w-d-in-Voll-oder-Teilzeit?jobDbPVId=264082629&amp;l=de" TargetMode="External"/><Relationship Id="rId120" Type="http://schemas.openxmlformats.org/officeDocument/2006/relationships/hyperlink" Target="https://www.buehnenverein.de/de/jobboerse/theaterleitung-verwaltung-mwd/2174" TargetMode="External"/><Relationship Id="rId125" Type="http://schemas.openxmlformats.org/officeDocument/2006/relationships/hyperlink" Target="https://www.salzburger-landestheater.at/file.php?file=uploads/_Offene%20Stellen/TECHNISCHE_N%20LEITER_IN.pdf&amp;cropping=" TargetMode="External"/><Relationship Id="rId7" Type="http://schemas.openxmlformats.org/officeDocument/2006/relationships/hyperlink" Target="https://www.ccsaar.de/unternehmen/karriere/" TargetMode="External"/><Relationship Id="rId71" Type="http://schemas.openxmlformats.org/officeDocument/2006/relationships/hyperlink" Target="https://www.kultweet.de/jobs/KjdF_Leitung_Foerderung.pdf" TargetMode="External"/><Relationship Id="rId92" Type="http://schemas.openxmlformats.org/officeDocument/2006/relationships/hyperlink" Target="https://www.frankfurt-oder.de/Verwaltung-Stadtpolitik/Verwaltung/Aktuelles/Leiter-in-Marketing-m-w-d-.php?object=tx,4071.5.1&amp;ModID=7&amp;FID=4071.6231.1&amp;NavID=2616.27&amp;La=1" TargetMode="External"/><Relationship Id="rId2" Type="http://schemas.openxmlformats.org/officeDocument/2006/relationships/hyperlink" Target="https://www.deutschertourismusverband.de/fileadmin/user_upload/UEber_uns/Stellenangebote/DTV_Stellenanzeige_Kommunikationsmanager.pdf" TargetMode="External"/><Relationship Id="rId29" Type="http://schemas.openxmlformats.org/officeDocument/2006/relationships/hyperlink" Target="https://www.leiza.de/ueber-uns/karriere/redakteurinin-m/w/d" TargetMode="External"/><Relationship Id="rId24" Type="http://schemas.openxmlformats.org/officeDocument/2006/relationships/hyperlink" Target="https://wir-vs.de/karriere/leitung-abteilung-tourismus-und-freizeit-2/" TargetMode="External"/><Relationship Id="rId40" Type="http://schemas.openxmlformats.org/officeDocument/2006/relationships/hyperlink" Target="https://www.vhs-dreilaendereck.de/fileadmin/vhs-dreilaendereck/Stellenausschreibungen/Projektmanagment_KuF_PfD.pdf" TargetMode="External"/><Relationship Id="rId45" Type="http://schemas.openxmlformats.org/officeDocument/2006/relationships/hyperlink" Target="https://interamt.de/koop/app/crypt.M_OCkdIHgsjDJmwLAkmTVQ/M_O5c" TargetMode="External"/><Relationship Id="rId66" Type="http://schemas.openxmlformats.org/officeDocument/2006/relationships/hyperlink" Target="https://interamt.de/koop/app/crypt.rnp_EofKW6uJc-iznG5pMA/rnp83" TargetMode="External"/><Relationship Id="rId87" Type="http://schemas.openxmlformats.org/officeDocument/2006/relationships/hyperlink" Target="https://www.kultweet.de/jobs/Stadt_Koeln_Direktion_RJM.pdf" TargetMode="External"/><Relationship Id="rId110" Type="http://schemas.openxmlformats.org/officeDocument/2006/relationships/hyperlink" Target="https://interamt.de/koop/app/crypt.X7zuQ2wz3tL13jkI6_YW1w/X7z1a" TargetMode="External"/><Relationship Id="rId115" Type="http://schemas.openxmlformats.org/officeDocument/2006/relationships/hyperlink" Target="https://karriere.filmuniversitaet.de/jobposting/96a1cddbc926efaf80e8f649d81c6bf959e77fd30?ref=homepage" TargetMode="External"/><Relationship Id="rId61" Type="http://schemas.openxmlformats.org/officeDocument/2006/relationships/hyperlink" Target="https://landesmuseum-stuttgart.softgarden.io/job/62359699/Marketingreferent-in-m-w-d-?jobDbPVId=261365034&amp;l=de" TargetMode="External"/><Relationship Id="rId82" Type="http://schemas.openxmlformats.org/officeDocument/2006/relationships/hyperlink" Target="https://www.gorki.de/de/leitung-kommunikation-m-w-d" TargetMode="External"/><Relationship Id="rId19" Type="http://schemas.openxmlformats.org/officeDocument/2006/relationships/hyperlink" Target="https://logahr1.kdo.de/bewerber-web/?companyEid=05600&amp;tenant=05600&amp;lang=D" TargetMode="External"/><Relationship Id="rId14" Type="http://schemas.openxmlformats.org/officeDocument/2006/relationships/hyperlink" Target="https://www.stiftungen.org/jobs/stellenanzeige/stiftungsvorstand-w-m-d-15706.html" TargetMode="External"/><Relationship Id="rId30" Type="http://schemas.openxmlformats.org/officeDocument/2006/relationships/hyperlink" Target="https://www.mein-check-in.de/weimar/position-506562" TargetMode="External"/><Relationship Id="rId35" Type="http://schemas.openxmlformats.org/officeDocument/2006/relationships/hyperlink" Target="https://verliebtinhalle.de/service/stellenangebote/referentin-unternehmenskommunikation-m/w/d" TargetMode="External"/><Relationship Id="rId56" Type="http://schemas.openxmlformats.org/officeDocument/2006/relationships/hyperlink" Target="https://karriere.kornwestheim.de/site/Kornwestheim_Karriere/node/23887023/zmdetail_523251427750/index.html?nodeID=523251427750" TargetMode="External"/><Relationship Id="rId77" Type="http://schemas.openxmlformats.org/officeDocument/2006/relationships/hyperlink" Target="https://www.schauspielhausbochum.de/de/haus/848/jobs-und-ausschreibungen" TargetMode="External"/><Relationship Id="rId100" Type="http://schemas.openxmlformats.org/officeDocument/2006/relationships/hyperlink" Target="https://dfb-stiftung-deutsches-fuballmuseum-ggm.jobs.personio.com/job/2521790?language=de&amp;display=de" TargetMode="External"/><Relationship Id="rId105" Type="http://schemas.openxmlformats.org/officeDocument/2006/relationships/hyperlink" Target="https://recruitingapp-5327.de.umantis.com/Vacancies/4910/Description/1" TargetMode="External"/><Relationship Id="rId126" Type="http://schemas.openxmlformats.org/officeDocument/2006/relationships/printerSettings" Target="../printerSettings/printerSettings1.bin"/><Relationship Id="rId8" Type="http://schemas.openxmlformats.org/officeDocument/2006/relationships/hyperlink" Target="https://www.museumsbund.de/stellenangebote/projektleitung-eroeffnung-und-inbetriebnahme-m-w-d/" TargetMode="External"/><Relationship Id="rId51" Type="http://schemas.openxmlformats.org/officeDocument/2006/relationships/hyperlink" Target="https://karriere.kmk.org/Referatsleitung-mwd-Referat-VI-2-D-Nord-Mittel-Suedeuropa--de-j115.html" TargetMode="External"/><Relationship Id="rId72" Type="http://schemas.openxmlformats.org/officeDocument/2006/relationships/hyperlink" Target="https://karriere.duelmen.de/jobposting/0ea7910c822ea71688873e9c4bea52174f4d36480?ref=homepage" TargetMode="External"/><Relationship Id="rId93" Type="http://schemas.openxmlformats.org/officeDocument/2006/relationships/hyperlink" Target="https://www.hausderkunst.de/ueber-uns/stellenangebote-praktika/kurator-in-w-m-d" TargetMode="External"/><Relationship Id="rId98" Type="http://schemas.openxmlformats.org/officeDocument/2006/relationships/hyperlink" Target="https://www.puppentheater-magdeburg.de/wp-content/uploads/2026/02/Stellenausschreibung_Produktionsleitung.pdf" TargetMode="External"/><Relationship Id="rId121" Type="http://schemas.openxmlformats.org/officeDocument/2006/relationships/hyperlink" Target="https://www.buehnenverein.de/de/jobboerse/technischer-direktorin-mwd-in-vollzeit-fur-die-komische-oper-berlin/2162" TargetMode="External"/><Relationship Id="rId3" Type="http://schemas.openxmlformats.org/officeDocument/2006/relationships/hyperlink" Target="https://www.dkb-stiftung.de/stiftung-jobs/" TargetMode="External"/><Relationship Id="rId25" Type="http://schemas.openxmlformats.org/officeDocument/2006/relationships/hyperlink" Target="https://www.karriereportal-stellen.berlin.de/Fachbereichsleitung-Museum-Bezirksgeschichtsarbeit-mwd-de-j63919.html" TargetMode="External"/><Relationship Id="rId46" Type="http://schemas.openxmlformats.org/officeDocument/2006/relationships/hyperlink" Target="https://www.bcsd.de/suchergebnisse/?datei=stellenausschreibung_63-gf-kultur_und_werbung_lippstadt_gmbh.pdf" TargetMode="External"/><Relationship Id="rId67" Type="http://schemas.openxmlformats.org/officeDocument/2006/relationships/hyperlink" Target="https://interamt.de/koop/app/crypt.rnp_EofKW6uejzxweGF8FQ/rnp83" TargetMode="External"/><Relationship Id="rId116" Type="http://schemas.openxmlformats.org/officeDocument/2006/relationships/hyperlink" Target="https://www.buehnenverein.de/de/jobboerse/intendantin-intendant-mwd/2228" TargetMode="External"/><Relationship Id="rId20" Type="http://schemas.openxmlformats.org/officeDocument/2006/relationships/hyperlink" Target="https://podium-esslingen.de/news/wir-suchen-nachfolge-kunstlerische-leitung-fur-2027-2026-01-09" TargetMode="External"/><Relationship Id="rId41" Type="http://schemas.openxmlformats.org/officeDocument/2006/relationships/hyperlink" Target="https://karriere.oldenburg.de/stellenangebote/stellenangebot/manager-in-w-m-d-fuer-communityarbeit" TargetMode="External"/><Relationship Id="rId62" Type="http://schemas.openxmlformats.org/officeDocument/2006/relationships/hyperlink" Target="https://jobs.staatstheater-karlsruhe.de/" TargetMode="External"/><Relationship Id="rId83" Type="http://schemas.openxmlformats.org/officeDocument/2006/relationships/hyperlink" Target="https://konstanz.bewerbung.dvvbw.de/2524-abteilungsleitung-m-w-d-der-wessenberg-galerie/de/job.html" TargetMode="External"/><Relationship Id="rId88" Type="http://schemas.openxmlformats.org/officeDocument/2006/relationships/hyperlink" Target="https://www.stiftungen.org/jobs/stellenanzeige/kustode-m-w-d-graphische-sammlungen-bauhaus-moderne-gegenwart-1860-bis-heute-15879.html" TargetMode="External"/><Relationship Id="rId111" Type="http://schemas.openxmlformats.org/officeDocument/2006/relationships/hyperlink" Target="https://interamt.de/koop/app/stelle?8&amp;id=1420308" TargetMode="External"/><Relationship Id="rId15" Type="http://schemas.openxmlformats.org/officeDocument/2006/relationships/hyperlink" Target="https://www.museumsbund.de/stellenangebote/direktorin-direktor/" TargetMode="External"/><Relationship Id="rId36" Type="http://schemas.openxmlformats.org/officeDocument/2006/relationships/hyperlink" Target="https://www.hsozkult.de/job/id/job-160087?title=1-historiker-in-m-w-d-historischer-adel-deutsches-adelsarchiv-marburg&amp;recno=1&amp;q=&amp;sort=&amp;fq=&amp;total=83" TargetMode="External"/><Relationship Id="rId57" Type="http://schemas.openxmlformats.org/officeDocument/2006/relationships/hyperlink" Target="https://www.buehnenverein.de/de/jobboerse/leitung-kommunikation-mwd/1751" TargetMode="External"/><Relationship Id="rId106" Type="http://schemas.openxmlformats.org/officeDocument/2006/relationships/hyperlink" Target="https://museumsverband-thueringen.de/wp-content/uploads/2026/02/Stellenausschreibung_GF_MVT_2026_02_16.pdf" TargetMode="External"/><Relationship Id="rId127" Type="http://schemas.openxmlformats.org/officeDocument/2006/relationships/table" Target="../tables/table1.xml"/><Relationship Id="rId10" Type="http://schemas.openxmlformats.org/officeDocument/2006/relationships/hyperlink" Target="https://www.theater-lueneburg.de/service/stellenangebote" TargetMode="External"/><Relationship Id="rId31" Type="http://schemas.openxmlformats.org/officeDocument/2006/relationships/hyperlink" Target="https://jobs.baselland.ch/offene-stellen/leitung-roemerstadt-augusta-raurica/b97509d5-6c4e-4744-8445-0aa880c27105" TargetMode="External"/><Relationship Id="rId52" Type="http://schemas.openxmlformats.org/officeDocument/2006/relationships/hyperlink" Target="https://documenta.de/de/jobs/kuratorische-assistenz-m-w-d" TargetMode="External"/><Relationship Id="rId73" Type="http://schemas.openxmlformats.org/officeDocument/2006/relationships/hyperlink" Target="https://karriere.pulheim.de/jobposting/9ba5d5ddc1653fb72e2f838227e9727c2af8f0560?ref=homepage" TargetMode="External"/><Relationship Id="rId78" Type="http://schemas.openxmlformats.org/officeDocument/2006/relationships/hyperlink" Target="https://www.oper-leipzig.de/de/jobs/referent-in-fur-presse-und-kommunikation-wmd/83" TargetMode="External"/><Relationship Id="rId94" Type="http://schemas.openxmlformats.org/officeDocument/2006/relationships/hyperlink" Target="https://selfdb.gkd-re.de/selfdbinter320/DokumentServlet?dokumentenname=260-5064fieldDokument.pdf" TargetMode="External"/><Relationship Id="rId99" Type="http://schemas.openxmlformats.org/officeDocument/2006/relationships/hyperlink" Target="https://www.kultweet.de/jobs/Kulturfonds_FfM_KulturmanagerIn.pdf" TargetMode="External"/><Relationship Id="rId101" Type="http://schemas.openxmlformats.org/officeDocument/2006/relationships/hyperlink" Target="https://www.digitales-deutsches-frauenarchiv.de/blog/stellenausschreibung-ddf-geschaeftsfuehrung" TargetMode="External"/><Relationship Id="rId122" Type="http://schemas.openxmlformats.org/officeDocument/2006/relationships/hyperlink" Target="https://www.buehnenverein.de/de/jobboerse/technische-leitung-mwd/2106" TargetMode="External"/><Relationship Id="rId4" Type="http://schemas.openxmlformats.org/officeDocument/2006/relationships/hyperlink" Target="https://www.mein-check-in.de/graefelfing/position-504054" TargetMode="External"/><Relationship Id="rId9" Type="http://schemas.openxmlformats.org/officeDocument/2006/relationships/hyperlink" Target="https://www.arbeitsagentur.de/jobsuche/jobdetail/10001-1002371858-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amt.de/cms/arbeitgeber.html" TargetMode="External"/><Relationship Id="rId13" Type="http://schemas.openxmlformats.org/officeDocument/2006/relationships/hyperlink" Target="https://www.museumsbund.de/stellenangebote/" TargetMode="External"/><Relationship Id="rId18" Type="http://schemas.openxmlformats.org/officeDocument/2006/relationships/hyperlink" Target="https://www.museumspaedagogik.org/aktuelles/jobs/" TargetMode="External"/><Relationship Id="rId26" Type="http://schemas.openxmlformats.org/officeDocument/2006/relationships/hyperlink" Target="https://www.kultweet.de/jobs.php" TargetMode="External"/><Relationship Id="rId3" Type="http://schemas.openxmlformats.org/officeDocument/2006/relationships/hyperlink" Target="https://www.getbaito.com/de/jobs?job-branch=art-music-drama" TargetMode="External"/><Relationship Id="rId21" Type="http://schemas.openxmlformats.org/officeDocument/2006/relationships/hyperlink" Target="https://www.destinet.de/stellenmarkt/stellenanzeigen-schalten" TargetMode="External"/><Relationship Id="rId7" Type="http://schemas.openxmlformats.org/officeDocument/2006/relationships/hyperlink" Target="https://www.stiftungen.org/benutzerkonto.html" TargetMode="External"/><Relationship Id="rId12" Type="http://schemas.openxmlformats.org/officeDocument/2006/relationships/hyperlink" Target="https://www.kulturmanagement.net/Stellenmarkt-Eintrag" TargetMode="External"/><Relationship Id="rId17" Type="http://schemas.openxmlformats.org/officeDocument/2006/relationships/hyperlink" Target="https://portalkunstgeschichte.de/" TargetMode="External"/><Relationship Id="rId25" Type="http://schemas.openxmlformats.org/officeDocument/2006/relationships/hyperlink" Target="https://pregas.de/stellenanzeige-schalten/" TargetMode="External"/><Relationship Id="rId2" Type="http://schemas.openxmlformats.org/officeDocument/2006/relationships/hyperlink" Target="https://kupf.at/kulturjobs/" TargetMode="External"/><Relationship Id="rId16" Type="http://schemas.openxmlformats.org/officeDocument/2006/relationships/hyperlink" Target="https://www.evvc.org/jobportal" TargetMode="External"/><Relationship Id="rId20" Type="http://schemas.openxmlformats.org/officeDocument/2006/relationships/hyperlink" Target="https://arthist.net/new.php?pn=mailing-list&amp;mode=contribute" TargetMode="External"/><Relationship Id="rId1" Type="http://schemas.openxmlformats.org/officeDocument/2006/relationships/hyperlink" Target="https://kulturkonzepte.at/" TargetMode="External"/><Relationship Id="rId6" Type="http://schemas.openxmlformats.org/officeDocument/2006/relationships/hyperlink" Target="https://frauen-in-kultur-und-medien.de/aktuell/ausschreibungen/" TargetMode="External"/><Relationship Id="rId11" Type="http://schemas.openxmlformats.org/officeDocument/2006/relationships/hyperlink" Target="https://www.kulturjobs.net/eintrag.php" TargetMode="External"/><Relationship Id="rId24" Type="http://schemas.openxmlformats.org/officeDocument/2006/relationships/hyperlink" Target="https://www.publicmarketing.eu/_rubric/index.php?rubric=Mediadaten" TargetMode="External"/><Relationship Id="rId5" Type="http://schemas.openxmlformats.org/officeDocument/2006/relationships/hyperlink" Target="https://gesinesjobtipps.de/freie-stelle-eintragen/" TargetMode="External"/><Relationship Id="rId15" Type="http://schemas.openxmlformats.org/officeDocument/2006/relationships/hyperlink" Target="https://www.buehnenverein.de/de/jobboerse" TargetMode="External"/><Relationship Id="rId23" Type="http://schemas.openxmlformats.org/officeDocument/2006/relationships/hyperlink" Target="https://www.bcsd.de/service/jobboerse/" TargetMode="External"/><Relationship Id="rId10" Type="http://schemas.openxmlformats.org/officeDocument/2006/relationships/hyperlink" Target="https://www.hsozkult.de/job/page" TargetMode="External"/><Relationship Id="rId19" Type="http://schemas.openxmlformats.org/officeDocument/2006/relationships/hyperlink" Target="https://editor.bund.de/" TargetMode="External"/><Relationship Id="rId4" Type="http://schemas.openxmlformats.org/officeDocument/2006/relationships/hyperlink" Target="https://bdkv.de/jobboerse/jobangebote/" TargetMode="External"/><Relationship Id="rId9" Type="http://schemas.openxmlformats.org/officeDocument/2006/relationships/hyperlink" Target="https://jobs.dthg.de/" TargetMode="External"/><Relationship Id="rId14" Type="http://schemas.openxmlformats.org/officeDocument/2006/relationships/hyperlink" Target="https://bibliojobs.eu/" TargetMode="External"/><Relationship Id="rId22" Type="http://schemas.openxmlformats.org/officeDocument/2006/relationships/hyperlink" Target="https://stellenanzeigen.pressesprecher.com/stellenanzeige-schalten" TargetMode="External"/><Relationship Id="rId27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F60A-8CBC-427A-9063-3C826ED3188D}">
  <sheetPr>
    <pageSetUpPr fitToPage="1"/>
  </sheetPr>
  <dimension ref="A1:N368"/>
  <sheetViews>
    <sheetView zoomScale="90" zoomScaleNormal="90" workbookViewId="0">
      <pane ySplit="1" topLeftCell="A2" activePane="bottomLeft" state="frozen"/>
      <selection pane="bottomLeft" activeCell="I95" sqref="I95"/>
    </sheetView>
  </sheetViews>
  <sheetFormatPr baseColWidth="10" defaultColWidth="11.46484375" defaultRowHeight="14.25"/>
  <cols>
    <col min="1" max="1" width="11.46484375" style="4" customWidth="1"/>
    <col min="2" max="2" width="14" style="4" customWidth="1"/>
    <col min="3" max="3" width="51.6640625" style="12" customWidth="1"/>
    <col min="4" max="4" width="44.46484375" style="12" customWidth="1"/>
    <col min="5" max="5" width="32.86328125" style="12" customWidth="1"/>
    <col min="6" max="6" width="23.86328125" style="12" bestFit="1" customWidth="1"/>
    <col min="7" max="7" width="38.33203125" style="12" customWidth="1"/>
    <col min="8" max="8" width="22" style="25" customWidth="1"/>
    <col min="9" max="9" width="30.33203125" style="23" customWidth="1"/>
    <col min="10" max="10" width="30.6640625" style="12" customWidth="1"/>
    <col min="11" max="11" width="64.46484375" style="12" customWidth="1"/>
    <col min="12" max="12" width="47" style="4" customWidth="1"/>
    <col min="13" max="14" width="22" style="179" customWidth="1"/>
  </cols>
  <sheetData>
    <row r="1" spans="1:14" s="1" customFormat="1" ht="45.4" thickBot="1">
      <c r="A1" s="2" t="s">
        <v>0</v>
      </c>
      <c r="B1" s="3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7" t="s">
        <v>9</v>
      </c>
      <c r="K1" s="10" t="s">
        <v>10</v>
      </c>
      <c r="L1" s="96" t="s">
        <v>11</v>
      </c>
      <c r="M1" s="10" t="s">
        <v>12</v>
      </c>
      <c r="N1" s="10" t="s">
        <v>13</v>
      </c>
    </row>
    <row r="2" spans="1:14" ht="15.4">
      <c r="A2" s="110"/>
      <c r="B2" s="110"/>
      <c r="C2" s="11" t="s">
        <v>14</v>
      </c>
      <c r="D2" s="111"/>
      <c r="E2" s="111"/>
      <c r="F2" s="111"/>
      <c r="G2" s="111"/>
      <c r="H2" s="112"/>
      <c r="I2" s="113"/>
      <c r="J2" s="114"/>
      <c r="K2" s="111"/>
      <c r="L2" s="115"/>
      <c r="M2" s="171"/>
      <c r="N2" s="171"/>
    </row>
    <row r="3" spans="1:14" ht="30">
      <c r="A3" s="116"/>
      <c r="B3" s="117" t="s">
        <v>15</v>
      </c>
      <c r="C3" s="118" t="s">
        <v>16</v>
      </c>
      <c r="D3" s="118" t="s">
        <v>17</v>
      </c>
      <c r="E3" s="118"/>
      <c r="F3" s="118"/>
      <c r="G3" s="119" t="s">
        <v>18</v>
      </c>
      <c r="H3" s="120" t="s">
        <v>19</v>
      </c>
      <c r="I3" s="121"/>
      <c r="J3" s="122"/>
      <c r="K3" s="32" t="s">
        <v>20</v>
      </c>
      <c r="L3" s="123" t="str" cm="1">
        <f t="array" ref="L3">IFERROR(_xlfn.TEXTJOIN(", ", TRUE, IF(ISNUMBER(SEARCH(D3, D:D)), ROW(D:D), "")), "Kein Treffer")</f>
        <v>3, 146</v>
      </c>
      <c r="M3" s="172"/>
      <c r="N3" s="172"/>
    </row>
    <row r="4" spans="1:14" ht="28.5">
      <c r="A4" s="116"/>
      <c r="B4" s="117" t="s">
        <v>15</v>
      </c>
      <c r="C4" s="118" t="s">
        <v>21</v>
      </c>
      <c r="D4" s="118" t="s">
        <v>22</v>
      </c>
      <c r="E4" s="118"/>
      <c r="F4" s="118"/>
      <c r="G4" s="119" t="s">
        <v>23</v>
      </c>
      <c r="H4" s="120" t="s">
        <v>18</v>
      </c>
      <c r="I4" s="121" t="s">
        <v>24</v>
      </c>
      <c r="J4" s="122"/>
      <c r="K4" s="32" t="s">
        <v>25</v>
      </c>
      <c r="L4" s="123" t="str" cm="1">
        <f t="array" ref="L4">IFERROR(_xlfn.TEXTJOIN(", ", TRUE, IF(ISNUMBER(SEARCH(D4, D:D)), ROW(D:D), "")), "Kein Treffer")</f>
        <v>4</v>
      </c>
      <c r="M4" s="172"/>
      <c r="N4" s="172"/>
    </row>
    <row r="5" spans="1:14" ht="75">
      <c r="A5" s="116"/>
      <c r="B5" s="117" t="s">
        <v>15</v>
      </c>
      <c r="C5" s="118" t="s">
        <v>26</v>
      </c>
      <c r="D5" s="118" t="s">
        <v>27</v>
      </c>
      <c r="E5" s="118"/>
      <c r="F5" s="118"/>
      <c r="G5" s="119" t="s">
        <v>28</v>
      </c>
      <c r="H5" s="120" t="s">
        <v>18</v>
      </c>
      <c r="I5" s="121" t="s">
        <v>29</v>
      </c>
      <c r="J5" s="122" t="s">
        <v>30</v>
      </c>
      <c r="K5" s="36" t="s">
        <v>31</v>
      </c>
      <c r="L5" s="123" t="str" cm="1">
        <f t="array" ref="L5">IFERROR(_xlfn.TEXTJOIN(", ", TRUE, IF(ISNUMBER(SEARCH(D5, D:D)), ROW(D:D), "")), "Kein Treffer")</f>
        <v>5</v>
      </c>
      <c r="M5" s="172"/>
      <c r="N5" s="172"/>
    </row>
    <row r="6" spans="1:14" ht="15.4">
      <c r="A6" s="116"/>
      <c r="B6" s="117" t="s">
        <v>32</v>
      </c>
      <c r="C6" s="118" t="s">
        <v>33</v>
      </c>
      <c r="D6" s="118" t="s">
        <v>34</v>
      </c>
      <c r="E6" s="118"/>
      <c r="F6" s="118"/>
      <c r="G6" s="119" t="s">
        <v>35</v>
      </c>
      <c r="H6" s="120"/>
      <c r="I6" s="121" t="s">
        <v>36</v>
      </c>
      <c r="J6" s="124"/>
      <c r="K6" s="32" t="s">
        <v>37</v>
      </c>
      <c r="L6" s="123" t="str" cm="1">
        <f t="array" ref="L6">IFERROR(_xlfn.TEXTJOIN(", ", TRUE, IF(ISNUMBER(SEARCH(D6, D:D)), ROW(D:D), "")), "Kein Treffer")</f>
        <v>6</v>
      </c>
      <c r="M6" s="172"/>
      <c r="N6" s="172"/>
    </row>
    <row r="7" spans="1:14" ht="30">
      <c r="A7" s="117" t="s">
        <v>38</v>
      </c>
      <c r="B7" s="117"/>
      <c r="C7" s="118" t="s">
        <v>39</v>
      </c>
      <c r="D7" s="118" t="s">
        <v>40</v>
      </c>
      <c r="E7" s="118"/>
      <c r="F7" s="118"/>
      <c r="G7" s="119" t="s">
        <v>41</v>
      </c>
      <c r="H7" s="120" t="s">
        <v>42</v>
      </c>
      <c r="I7" s="121"/>
      <c r="J7" s="124"/>
      <c r="K7" s="32" t="s">
        <v>43</v>
      </c>
      <c r="L7" s="123" t="str" cm="1">
        <f t="array" ref="L7">IFERROR(_xlfn.TEXTJOIN(", ", TRUE, IF(ISNUMBER(SEARCH(D7, D:D)), ROW(D:D), "")), "Kein Treffer")</f>
        <v>7</v>
      </c>
      <c r="M7" s="172"/>
      <c r="N7" s="172"/>
    </row>
    <row r="8" spans="1:14" ht="28.5">
      <c r="A8" s="117"/>
      <c r="B8" s="117"/>
      <c r="C8" s="118" t="s">
        <v>44</v>
      </c>
      <c r="D8" s="118" t="s">
        <v>45</v>
      </c>
      <c r="E8" s="118"/>
      <c r="F8" s="118"/>
      <c r="G8" s="119" t="s">
        <v>46</v>
      </c>
      <c r="H8" s="120" t="s">
        <v>19</v>
      </c>
      <c r="I8" s="121"/>
      <c r="J8" s="124"/>
      <c r="K8" s="32" t="s">
        <v>47</v>
      </c>
      <c r="L8" s="123" t="str" cm="1">
        <f t="array" ref="L8">IFERROR(_xlfn.TEXTJOIN(", ", TRUE, IF(ISNUMBER(SEARCH(D8, D:D)), ROW(D:D), "")), "Kein Treffer")</f>
        <v>8, 56</v>
      </c>
      <c r="M8" s="172"/>
      <c r="N8" s="172"/>
    </row>
    <row r="9" spans="1:14" ht="60">
      <c r="A9" s="116"/>
      <c r="B9" s="117" t="s">
        <v>15</v>
      </c>
      <c r="C9" s="118" t="s">
        <v>48</v>
      </c>
      <c r="D9" s="118" t="s">
        <v>49</v>
      </c>
      <c r="E9" s="118"/>
      <c r="F9" s="118"/>
      <c r="G9" s="119" t="s">
        <v>50</v>
      </c>
      <c r="H9" s="120" t="s">
        <v>51</v>
      </c>
      <c r="I9" s="121" t="s">
        <v>52</v>
      </c>
      <c r="J9" s="124" t="s">
        <v>53</v>
      </c>
      <c r="K9" s="27" t="s">
        <v>54</v>
      </c>
      <c r="L9" s="123" t="str" cm="1">
        <f t="array" ref="L9">IFERROR(_xlfn.TEXTJOIN(", ", TRUE, IF(ISNUMBER(SEARCH(D9, D:D)), ROW(D:D), "")), "Kein Treffer")</f>
        <v>9</v>
      </c>
      <c r="M9" s="172"/>
      <c r="N9" s="172"/>
    </row>
    <row r="10" spans="1:14" ht="30">
      <c r="A10" s="116"/>
      <c r="B10" s="117" t="s">
        <v>55</v>
      </c>
      <c r="C10" s="118" t="s">
        <v>56</v>
      </c>
      <c r="D10" s="118" t="s">
        <v>57</v>
      </c>
      <c r="E10" s="118"/>
      <c r="F10" s="118"/>
      <c r="G10" s="119" t="s">
        <v>58</v>
      </c>
      <c r="H10" s="120" t="s">
        <v>59</v>
      </c>
      <c r="I10" s="43" t="s">
        <v>60</v>
      </c>
      <c r="J10" s="124"/>
      <c r="K10" s="32" t="s">
        <v>61</v>
      </c>
      <c r="L10" s="123" t="str" cm="1">
        <f t="array" ref="L10">IFERROR(_xlfn.TEXTJOIN(", ", TRUE, IF(ISNUMBER(SEARCH(D10, D:D)), ROW(D:D), "")), "Kein Treffer")</f>
        <v>10</v>
      </c>
      <c r="M10" s="172"/>
      <c r="N10" s="172"/>
    </row>
    <row r="11" spans="1:14" ht="30">
      <c r="A11" s="117"/>
      <c r="B11" s="117"/>
      <c r="C11" s="118" t="s">
        <v>62</v>
      </c>
      <c r="D11" s="118" t="s">
        <v>63</v>
      </c>
      <c r="E11" s="118"/>
      <c r="F11" s="118"/>
      <c r="G11" s="119" t="s">
        <v>64</v>
      </c>
      <c r="H11" s="120" t="s">
        <v>65</v>
      </c>
      <c r="I11" s="121"/>
      <c r="J11" s="124"/>
      <c r="K11" s="32" t="s">
        <v>66</v>
      </c>
      <c r="L11" s="123" t="str" cm="1">
        <f t="array" ref="L11">IFERROR(_xlfn.TEXTJOIN(", ", TRUE, IF(ISNUMBER(SEARCH(D11, D:D)), ROW(D:D), "")), "Kein Treffer")</f>
        <v>11</v>
      </c>
      <c r="M11" s="172"/>
      <c r="N11" s="172"/>
    </row>
    <row r="12" spans="1:14" ht="30">
      <c r="A12" s="116"/>
      <c r="B12" s="117" t="s">
        <v>15</v>
      </c>
      <c r="C12" s="118" t="s">
        <v>67</v>
      </c>
      <c r="D12" s="118" t="s">
        <v>68</v>
      </c>
      <c r="E12" s="118"/>
      <c r="F12" s="118"/>
      <c r="G12" s="119" t="s">
        <v>69</v>
      </c>
      <c r="H12" s="120" t="s">
        <v>70</v>
      </c>
      <c r="I12" s="121" t="s">
        <v>71</v>
      </c>
      <c r="J12" s="124"/>
      <c r="K12" s="32" t="s">
        <v>72</v>
      </c>
      <c r="L12" s="123" t="str" cm="1">
        <f t="array" ref="L12">IFERROR(_xlfn.TEXTJOIN(", ", TRUE, IF(ISNUMBER(SEARCH(D12, D:D)), ROW(D:D), "")), "Kein Treffer")</f>
        <v>12</v>
      </c>
      <c r="M12" s="172"/>
      <c r="N12" s="172"/>
    </row>
    <row r="13" spans="1:14" ht="30">
      <c r="A13" s="117"/>
      <c r="B13" s="117"/>
      <c r="C13" s="118" t="s">
        <v>73</v>
      </c>
      <c r="D13" s="118" t="s">
        <v>74</v>
      </c>
      <c r="E13" s="118"/>
      <c r="F13" s="118"/>
      <c r="G13" s="119" t="s">
        <v>75</v>
      </c>
      <c r="H13" s="120" t="s">
        <v>76</v>
      </c>
      <c r="I13" s="121"/>
      <c r="J13" s="124"/>
      <c r="K13" s="32" t="s">
        <v>77</v>
      </c>
      <c r="L13" s="123" t="str" cm="1">
        <f t="array" ref="L13">IFERROR(_xlfn.TEXTJOIN(", ", TRUE, IF(ISNUMBER(SEARCH(D13, D:D)), ROW(D:D), "")), "Kein Treffer")</f>
        <v>13</v>
      </c>
      <c r="M13" s="172"/>
      <c r="N13" s="172"/>
    </row>
    <row r="14" spans="1:14" ht="15.4">
      <c r="A14" s="116"/>
      <c r="B14" s="117" t="s">
        <v>55</v>
      </c>
      <c r="C14" s="118" t="s">
        <v>78</v>
      </c>
      <c r="D14" s="118" t="s">
        <v>79</v>
      </c>
      <c r="E14" s="118"/>
      <c r="F14" s="118"/>
      <c r="G14" s="119" t="s">
        <v>80</v>
      </c>
      <c r="H14" s="120" t="s">
        <v>18</v>
      </c>
      <c r="I14" s="121" t="s">
        <v>81</v>
      </c>
      <c r="J14" s="124"/>
      <c r="K14" s="32" t="s">
        <v>82</v>
      </c>
      <c r="L14" s="123" t="str" cm="1">
        <f t="array" ref="L14">IFERROR(_xlfn.TEXTJOIN(", ", TRUE, IF(ISNUMBER(SEARCH(D14, D:D)), ROW(D:D), "")), "Kein Treffer")</f>
        <v>14</v>
      </c>
      <c r="M14" s="172"/>
      <c r="N14" s="172"/>
    </row>
    <row r="15" spans="1:14" ht="28.5">
      <c r="A15" s="116"/>
      <c r="B15" s="117" t="s">
        <v>15</v>
      </c>
      <c r="C15" s="118" t="s">
        <v>83</v>
      </c>
      <c r="D15" s="118" t="s">
        <v>84</v>
      </c>
      <c r="E15" s="118"/>
      <c r="F15" s="118"/>
      <c r="G15" s="119" t="s">
        <v>85</v>
      </c>
      <c r="H15" s="120">
        <v>46054</v>
      </c>
      <c r="I15" s="121" t="s">
        <v>86</v>
      </c>
      <c r="J15" s="22"/>
      <c r="K15" s="27" t="s">
        <v>87</v>
      </c>
      <c r="L15" s="29" t="str" cm="1">
        <f t="array" ref="L15">IFERROR(_xlfn.TEXTJOIN(", ", TRUE, IF(ISNUMBER(SEARCH(D15, D:D)), ROW(D:D), "")), "Kein Treffer")</f>
        <v>15</v>
      </c>
      <c r="M15" s="172"/>
      <c r="N15" s="172"/>
    </row>
    <row r="16" spans="1:14" ht="45">
      <c r="A16" s="117"/>
      <c r="B16" s="117"/>
      <c r="C16" s="118" t="s">
        <v>88</v>
      </c>
      <c r="D16" s="118" t="s">
        <v>89</v>
      </c>
      <c r="E16" s="118"/>
      <c r="F16" s="118"/>
      <c r="G16" s="119" t="s">
        <v>90</v>
      </c>
      <c r="H16" s="120">
        <v>46040</v>
      </c>
      <c r="I16" s="121"/>
      <c r="J16" s="22"/>
      <c r="K16" s="27" t="s">
        <v>91</v>
      </c>
      <c r="L16" s="29" t="str" cm="1">
        <f t="array" ref="L16">IFERROR(_xlfn.TEXTJOIN(", ", TRUE, IF(ISNUMBER(SEARCH(D16, D:D)), ROW(D:D), "")), "Kein Treffer")</f>
        <v>16</v>
      </c>
      <c r="M16" s="172"/>
      <c r="N16" s="172"/>
    </row>
    <row r="17" spans="1:14" ht="15.4">
      <c r="A17" s="116"/>
      <c r="B17" s="117" t="s">
        <v>15</v>
      </c>
      <c r="C17" s="118" t="s">
        <v>92</v>
      </c>
      <c r="D17" s="118" t="s">
        <v>93</v>
      </c>
      <c r="E17" s="118"/>
      <c r="F17" s="118"/>
      <c r="G17" s="119" t="s">
        <v>94</v>
      </c>
      <c r="H17" s="120" t="s">
        <v>18</v>
      </c>
      <c r="I17" s="121"/>
      <c r="J17" s="124"/>
      <c r="K17" s="32"/>
      <c r="L17" s="29" t="str" cm="1">
        <f t="array" ref="L17">IFERROR(_xlfn.TEXTJOIN(", ", TRUE, IF(ISNUMBER(SEARCH(D17, D:D)), ROW(D:D), "")), "Kein Treffer")</f>
        <v>17</v>
      </c>
      <c r="M17" s="172"/>
      <c r="N17" s="172"/>
    </row>
    <row r="18" spans="1:14" ht="28.5">
      <c r="A18" s="116" t="s">
        <v>95</v>
      </c>
      <c r="B18" s="117" t="s">
        <v>96</v>
      </c>
      <c r="C18" s="118" t="s">
        <v>97</v>
      </c>
      <c r="D18" s="118" t="s">
        <v>98</v>
      </c>
      <c r="E18" s="118"/>
      <c r="F18" s="118"/>
      <c r="G18" s="119" t="s">
        <v>99</v>
      </c>
      <c r="H18" s="120">
        <v>46052</v>
      </c>
      <c r="I18" s="121" t="s">
        <v>100</v>
      </c>
      <c r="J18" s="124" t="s">
        <v>101</v>
      </c>
      <c r="K18" s="27" t="s">
        <v>102</v>
      </c>
      <c r="L18" s="29" t="str" cm="1">
        <f t="array" ref="L18">IFERROR(_xlfn.TEXTJOIN(", ", TRUE, IF(ISNUMBER(SEARCH(D18, D:D)), ROW(D:D), "")), "Kein Treffer")</f>
        <v>18</v>
      </c>
      <c r="M18" s="172"/>
      <c r="N18" s="172"/>
    </row>
    <row r="19" spans="1:14" ht="45">
      <c r="A19" s="116"/>
      <c r="B19" s="117" t="s">
        <v>15</v>
      </c>
      <c r="C19" s="118" t="s">
        <v>103</v>
      </c>
      <c r="D19" s="118" t="s">
        <v>104</v>
      </c>
      <c r="E19" s="118"/>
      <c r="F19" s="118"/>
      <c r="G19" s="119" t="s">
        <v>105</v>
      </c>
      <c r="H19" s="120">
        <v>46040</v>
      </c>
      <c r="I19" s="121" t="s">
        <v>106</v>
      </c>
      <c r="J19" s="124"/>
      <c r="K19" s="27" t="s">
        <v>107</v>
      </c>
      <c r="L19" s="29" t="str" cm="1">
        <f t="array" ref="L19">IFERROR(_xlfn.TEXTJOIN(", ", TRUE, IF(ISNUMBER(SEARCH(D19, D:D)), ROW(D:D), "")), "Kein Treffer")</f>
        <v>19</v>
      </c>
      <c r="M19" s="172"/>
      <c r="N19" s="172"/>
    </row>
    <row r="20" spans="1:14" ht="30">
      <c r="A20" s="117"/>
      <c r="B20" s="117"/>
      <c r="C20" s="118" t="s">
        <v>108</v>
      </c>
      <c r="D20" s="118" t="s">
        <v>109</v>
      </c>
      <c r="E20" s="118"/>
      <c r="F20" s="118"/>
      <c r="G20" s="119" t="s">
        <v>110</v>
      </c>
      <c r="H20" s="120">
        <v>46051</v>
      </c>
      <c r="I20" s="121"/>
      <c r="J20" s="124"/>
      <c r="K20" s="33" t="s">
        <v>111</v>
      </c>
      <c r="L20" s="29" t="str" cm="1">
        <f t="array" ref="L20">IFERROR(_xlfn.TEXTJOIN(", ", TRUE, IF(ISNUMBER(SEARCH(D20, D:D)), ROW(D:D), "")), "Kein Treffer")</f>
        <v>20</v>
      </c>
      <c r="M20" s="172"/>
      <c r="N20" s="172"/>
    </row>
    <row r="21" spans="1:14" ht="28.5">
      <c r="A21" s="125"/>
      <c r="B21" s="117" t="s">
        <v>32</v>
      </c>
      <c r="C21" s="118" t="s">
        <v>112</v>
      </c>
      <c r="D21" s="118" t="s">
        <v>113</v>
      </c>
      <c r="E21" s="118"/>
      <c r="F21" s="118"/>
      <c r="G21" s="119" t="s">
        <v>114</v>
      </c>
      <c r="H21" s="120" t="s">
        <v>115</v>
      </c>
      <c r="I21" s="121" t="s">
        <v>116</v>
      </c>
      <c r="J21" s="124"/>
      <c r="K21" s="27" t="s">
        <v>117</v>
      </c>
      <c r="L21" s="29" t="str" cm="1">
        <f t="array" ref="L21">IFERROR(_xlfn.TEXTJOIN(", ", TRUE, IF(ISNUMBER(SEARCH(D21, D:D)), ROW(D:D), "")), "Kein Treffer")</f>
        <v>21</v>
      </c>
      <c r="M21" s="172"/>
      <c r="N21" s="172"/>
    </row>
    <row r="22" spans="1:14" ht="42.75">
      <c r="A22" s="116" t="s">
        <v>118</v>
      </c>
      <c r="B22" s="117" t="s">
        <v>96</v>
      </c>
      <c r="C22" s="118" t="s">
        <v>119</v>
      </c>
      <c r="D22" s="118" t="s">
        <v>120</v>
      </c>
      <c r="E22" s="118"/>
      <c r="F22" s="118"/>
      <c r="G22" s="119" t="s">
        <v>121</v>
      </c>
      <c r="H22" s="120" t="s">
        <v>122</v>
      </c>
      <c r="I22" s="121" t="s">
        <v>123</v>
      </c>
      <c r="J22" s="124" t="s">
        <v>124</v>
      </c>
      <c r="K22" s="27" t="s">
        <v>125</v>
      </c>
      <c r="L22" s="29" t="str" cm="1">
        <f t="array" ref="L22">IFERROR(_xlfn.TEXTJOIN(", ", TRUE, IF(ISNUMBER(SEARCH(D22, D:D)), ROW(D:D), "")), "Kein Treffer")</f>
        <v>22</v>
      </c>
      <c r="M22" s="172"/>
      <c r="N22" s="172"/>
    </row>
    <row r="23" spans="1:14" ht="15.4">
      <c r="A23" s="116"/>
      <c r="B23" s="117" t="s">
        <v>126</v>
      </c>
      <c r="C23" s="118" t="s">
        <v>127</v>
      </c>
      <c r="D23" s="118" t="s">
        <v>128</v>
      </c>
      <c r="E23" s="118"/>
      <c r="F23" s="118"/>
      <c r="G23" s="119" t="s">
        <v>129</v>
      </c>
      <c r="H23" s="120">
        <v>46022</v>
      </c>
      <c r="I23" s="121" t="s">
        <v>123</v>
      </c>
      <c r="J23" s="124"/>
      <c r="K23" s="27"/>
      <c r="L23" s="29" t="str" cm="1">
        <f t="array" ref="L23">IFERROR(_xlfn.TEXTJOIN(", ", TRUE, IF(ISNUMBER(SEARCH(D23, D:D)), ROW(D:D), "")), "Kein Treffer")</f>
        <v>23</v>
      </c>
      <c r="M23" s="172"/>
      <c r="N23" s="172"/>
    </row>
    <row r="24" spans="1:14" ht="15">
      <c r="A24" s="110"/>
      <c r="B24" s="110"/>
      <c r="C24" s="40" t="s">
        <v>130</v>
      </c>
      <c r="D24" s="126"/>
      <c r="E24" s="126"/>
      <c r="F24" s="126"/>
      <c r="G24" s="126"/>
      <c r="H24" s="113"/>
      <c r="I24" s="127"/>
      <c r="J24" s="114"/>
      <c r="K24" s="111"/>
      <c r="L24" s="28"/>
      <c r="M24" s="173"/>
      <c r="N24" s="173"/>
    </row>
    <row r="25" spans="1:14" ht="28.5">
      <c r="A25" s="128"/>
      <c r="B25" s="37" t="s">
        <v>131</v>
      </c>
      <c r="C25" s="118" t="s">
        <v>132</v>
      </c>
      <c r="D25" s="118" t="s">
        <v>133</v>
      </c>
      <c r="E25" s="118"/>
      <c r="F25" s="118"/>
      <c r="G25" s="118" t="s">
        <v>134</v>
      </c>
      <c r="H25" s="120">
        <v>46056</v>
      </c>
      <c r="I25" s="121"/>
      <c r="J25" s="124"/>
      <c r="K25" s="38" t="s">
        <v>135</v>
      </c>
      <c r="L25" s="29" t="str" cm="1">
        <f t="array" ref="L25">IFERROR(_xlfn.TEXTJOIN(", ", TRUE, IF(ISNUMBER(SEARCH(D25, D:D)), ROW(D:D), "")), "Kein Treffer")</f>
        <v>25</v>
      </c>
      <c r="M25" s="172"/>
      <c r="N25" s="172"/>
    </row>
    <row r="26" spans="1:14" ht="30">
      <c r="A26" s="128"/>
      <c r="B26" s="37" t="s">
        <v>32</v>
      </c>
      <c r="C26" s="118" t="s">
        <v>136</v>
      </c>
      <c r="D26" s="118" t="s">
        <v>137</v>
      </c>
      <c r="E26" s="118"/>
      <c r="F26" s="118"/>
      <c r="G26" s="118" t="s">
        <v>76</v>
      </c>
      <c r="H26" s="120">
        <v>46068</v>
      </c>
      <c r="I26" s="121" t="s">
        <v>138</v>
      </c>
      <c r="J26" s="124"/>
      <c r="K26" s="38" t="s">
        <v>139</v>
      </c>
      <c r="L26" s="29" t="str" cm="1">
        <f t="array" ref="L26">IFERROR(_xlfn.TEXTJOIN(", ", TRUE, IF(ISNUMBER(SEARCH(D26, D:D)), ROW(D:D), "")), "Kein Treffer")</f>
        <v>26</v>
      </c>
      <c r="M26" s="172"/>
      <c r="N26" s="172"/>
    </row>
    <row r="27" spans="1:14" ht="42.75">
      <c r="A27" s="129"/>
      <c r="B27" s="37"/>
      <c r="C27" s="118" t="s">
        <v>140</v>
      </c>
      <c r="D27" s="118" t="s">
        <v>141</v>
      </c>
      <c r="E27" s="118"/>
      <c r="F27" s="118"/>
      <c r="G27" s="118" t="s">
        <v>142</v>
      </c>
      <c r="H27" s="120">
        <v>46050</v>
      </c>
      <c r="I27" s="121"/>
      <c r="J27" s="124"/>
      <c r="K27" s="38" t="s">
        <v>143</v>
      </c>
      <c r="L27" s="29" t="str" cm="1">
        <f t="array" ref="L27">IFERROR(_xlfn.TEXTJOIN(", ", TRUE, IF(ISNUMBER(SEARCH(D27, D:D)), ROW(D:D), "")), "Kein Treffer")</f>
        <v>27</v>
      </c>
      <c r="M27" s="172"/>
      <c r="N27" s="172"/>
    </row>
    <row r="28" spans="1:14" ht="30">
      <c r="A28" s="128" t="s">
        <v>95</v>
      </c>
      <c r="B28" s="37" t="s">
        <v>96</v>
      </c>
      <c r="C28" s="118" t="s">
        <v>144</v>
      </c>
      <c r="D28" s="118" t="s">
        <v>145</v>
      </c>
      <c r="E28" s="118"/>
      <c r="F28" s="118"/>
      <c r="G28" s="118" t="s">
        <v>146</v>
      </c>
      <c r="H28" s="120">
        <v>46056</v>
      </c>
      <c r="I28" s="121"/>
      <c r="J28" s="124" t="s">
        <v>147</v>
      </c>
      <c r="K28" s="38" t="s">
        <v>148</v>
      </c>
      <c r="L28" s="29" t="str" cm="1">
        <f t="array" ref="L28">IFERROR(_xlfn.TEXTJOIN(", ", TRUE, IF(ISNUMBER(SEARCH(D28, D:D)), ROW(D:D), "")), "Kein Treffer")</f>
        <v>28</v>
      </c>
      <c r="M28" s="172"/>
      <c r="N28" s="172"/>
    </row>
    <row r="29" spans="1:14" ht="72" customHeight="1">
      <c r="A29" s="128"/>
      <c r="B29" s="37" t="s">
        <v>15</v>
      </c>
      <c r="C29" s="118" t="s">
        <v>149</v>
      </c>
      <c r="D29" s="118" t="s">
        <v>150</v>
      </c>
      <c r="E29" s="118"/>
      <c r="F29" s="118"/>
      <c r="G29" s="118" t="s">
        <v>151</v>
      </c>
      <c r="H29" s="121" t="s">
        <v>152</v>
      </c>
      <c r="I29" s="121"/>
      <c r="J29" s="34"/>
      <c r="K29" s="38" t="s">
        <v>153</v>
      </c>
      <c r="L29" s="29" t="str" cm="1">
        <f t="array" ref="L29">IFERROR(_xlfn.TEXTJOIN(", ", TRUE, IF(ISNUMBER(SEARCH(D29, D:D)), ROW(D:D), "")), "Kein Treffer")</f>
        <v>29</v>
      </c>
      <c r="M29" s="174"/>
      <c r="N29" s="174"/>
    </row>
    <row r="30" spans="1:14" ht="30">
      <c r="A30" s="128" t="s">
        <v>118</v>
      </c>
      <c r="B30" s="37" t="s">
        <v>96</v>
      </c>
      <c r="C30" s="118" t="s">
        <v>154</v>
      </c>
      <c r="D30" s="118" t="s">
        <v>155</v>
      </c>
      <c r="E30" s="118"/>
      <c r="F30" s="118"/>
      <c r="G30" s="118" t="s">
        <v>156</v>
      </c>
      <c r="H30" s="120">
        <v>46054</v>
      </c>
      <c r="I30" s="119" t="s">
        <v>157</v>
      </c>
      <c r="J30" s="124"/>
      <c r="K30" s="27" t="s">
        <v>158</v>
      </c>
      <c r="L30" s="29" t="str" cm="1">
        <f t="array" ref="L30">IFERROR(_xlfn.TEXTJOIN(", ", TRUE, IF(ISNUMBER(SEARCH(D30, D:D)), ROW(D:D), "")), "Kein Treffer")</f>
        <v>30</v>
      </c>
      <c r="M30" s="172"/>
      <c r="N30" s="172"/>
    </row>
    <row r="31" spans="1:14" ht="28.5">
      <c r="A31" s="129"/>
      <c r="B31" s="37"/>
      <c r="C31" s="118" t="s">
        <v>159</v>
      </c>
      <c r="D31" s="118" t="s">
        <v>160</v>
      </c>
      <c r="E31" s="118"/>
      <c r="F31" s="118"/>
      <c r="G31" s="118" t="s">
        <v>76</v>
      </c>
      <c r="H31" s="120">
        <v>46057</v>
      </c>
      <c r="I31" s="121"/>
      <c r="J31" s="124"/>
      <c r="K31" s="27" t="s">
        <v>161</v>
      </c>
      <c r="L31" s="29" t="str" cm="1">
        <f t="array" ref="L31">IFERROR(_xlfn.TEXTJOIN(", ", TRUE, IF(ISNUMBER(SEARCH(D31, D:D)), ROW(D:D), "")), "Kein Treffer")</f>
        <v>31</v>
      </c>
      <c r="M31" s="172"/>
      <c r="N31" s="172"/>
    </row>
    <row r="32" spans="1:14" ht="37.5" customHeight="1">
      <c r="A32" s="129"/>
      <c r="B32" s="37"/>
      <c r="C32" s="118" t="s">
        <v>162</v>
      </c>
      <c r="D32" s="118" t="s">
        <v>163</v>
      </c>
      <c r="E32" s="118"/>
      <c r="F32" s="118"/>
      <c r="G32" s="118" t="s">
        <v>18</v>
      </c>
      <c r="H32" s="121" t="s">
        <v>164</v>
      </c>
      <c r="I32" s="121"/>
      <c r="J32" s="124"/>
      <c r="K32" s="27" t="s">
        <v>165</v>
      </c>
      <c r="L32" s="29" t="str" cm="1">
        <f t="array" ref="L32">IFERROR(_xlfn.TEXTJOIN(", ", TRUE, IF(ISNUMBER(SEARCH(D32, D:D)), ROW(D:D), "")), "Kein Treffer")</f>
        <v>32</v>
      </c>
      <c r="M32" s="174"/>
      <c r="N32" s="174"/>
    </row>
    <row r="33" spans="1:14" ht="15.4">
      <c r="A33" s="128"/>
      <c r="B33" s="37" t="s">
        <v>15</v>
      </c>
      <c r="C33" s="118" t="s">
        <v>166</v>
      </c>
      <c r="D33" s="118" t="s">
        <v>167</v>
      </c>
      <c r="E33" s="118"/>
      <c r="F33" s="118"/>
      <c r="G33" s="118" t="s">
        <v>168</v>
      </c>
      <c r="H33" s="120">
        <v>46053</v>
      </c>
      <c r="I33" s="121"/>
      <c r="J33" s="124"/>
      <c r="K33" s="24"/>
      <c r="L33" s="29" t="str" cm="1">
        <f t="array" ref="L33">IFERROR(_xlfn.TEXTJOIN(", ", TRUE, IF(ISNUMBER(SEARCH(D33, D:D)), ROW(D:D), "")), "Kein Treffer")</f>
        <v>33</v>
      </c>
      <c r="M33" s="172"/>
      <c r="N33" s="172"/>
    </row>
    <row r="34" spans="1:14" ht="45">
      <c r="A34" s="129"/>
      <c r="B34" s="37" t="s">
        <v>169</v>
      </c>
      <c r="C34" s="118" t="s">
        <v>44</v>
      </c>
      <c r="D34" s="118" t="s">
        <v>170</v>
      </c>
      <c r="E34" s="118"/>
      <c r="F34" s="118"/>
      <c r="G34" s="118" t="s">
        <v>171</v>
      </c>
      <c r="H34" s="120">
        <v>46059</v>
      </c>
      <c r="I34" s="121"/>
      <c r="J34" s="124"/>
      <c r="K34" s="24"/>
      <c r="L34" s="29" t="str" cm="1">
        <f t="array" ref="L34">IFERROR(_xlfn.TEXTJOIN(", ", TRUE, IF(ISNUMBER(SEARCH(D34, D:D)), ROW(D:D), "")), "Kein Treffer")</f>
        <v>34</v>
      </c>
      <c r="M34" s="172"/>
      <c r="N34" s="172"/>
    </row>
    <row r="35" spans="1:14" ht="45">
      <c r="A35" s="130"/>
      <c r="B35" s="37" t="s">
        <v>15</v>
      </c>
      <c r="C35" s="118" t="s">
        <v>172</v>
      </c>
      <c r="D35" s="118" t="s">
        <v>173</v>
      </c>
      <c r="E35" s="118"/>
      <c r="F35" s="118"/>
      <c r="G35" s="118" t="s">
        <v>174</v>
      </c>
      <c r="H35" s="120">
        <v>46042</v>
      </c>
      <c r="I35" s="121"/>
      <c r="J35" s="124"/>
      <c r="K35" s="24"/>
      <c r="L35" s="29" t="str" cm="1">
        <f t="array" ref="L35">IFERROR(_xlfn.TEXTJOIN(", ", TRUE, IF(ISNUMBER(SEARCH(D35, D:D)), ROW(D:D), "")), "Kein Treffer")</f>
        <v>35</v>
      </c>
      <c r="M35" s="172"/>
      <c r="N35" s="172"/>
    </row>
    <row r="36" spans="1:14" ht="43.5" customHeight="1">
      <c r="A36" s="128"/>
      <c r="B36" s="37" t="s">
        <v>15</v>
      </c>
      <c r="C36" s="118" t="s">
        <v>175</v>
      </c>
      <c r="D36" s="118" t="s">
        <v>176</v>
      </c>
      <c r="E36" s="118"/>
      <c r="F36" s="118"/>
      <c r="G36" s="118" t="s">
        <v>177</v>
      </c>
      <c r="H36" s="120" t="s">
        <v>178</v>
      </c>
      <c r="I36" s="121"/>
      <c r="J36" s="124"/>
      <c r="K36" s="24" t="s">
        <v>179</v>
      </c>
      <c r="L36" s="29" t="str" cm="1">
        <f t="array" ref="L36">IFERROR(_xlfn.TEXTJOIN(", ", TRUE, IF(ISNUMBER(SEARCH(D36, D:D)), ROW(D:D), "")), "Kein Treffer")</f>
        <v>36</v>
      </c>
      <c r="M36" s="172"/>
      <c r="N36" s="172"/>
    </row>
    <row r="37" spans="1:14" ht="40.5" customHeight="1">
      <c r="A37" s="131"/>
      <c r="B37" s="37" t="s">
        <v>15</v>
      </c>
      <c r="C37" s="118" t="s">
        <v>180</v>
      </c>
      <c r="D37" s="118" t="s">
        <v>181</v>
      </c>
      <c r="E37" s="118"/>
      <c r="F37" s="118"/>
      <c r="G37" s="118" t="s">
        <v>182</v>
      </c>
      <c r="H37" s="120">
        <v>46053</v>
      </c>
      <c r="I37" s="121"/>
      <c r="J37" s="124"/>
      <c r="K37" s="24" t="s">
        <v>183</v>
      </c>
      <c r="L37" s="29" t="str" cm="1">
        <f t="array" ref="L37">IFERROR(_xlfn.TEXTJOIN(", ", TRUE, IF(ISNUMBER(SEARCH(D37, D:D)), ROW(D:D), "")), "Kein Treffer")</f>
        <v>37</v>
      </c>
      <c r="M37" s="172"/>
      <c r="N37" s="172"/>
    </row>
    <row r="38" spans="1:14" ht="30">
      <c r="A38" s="45" t="s">
        <v>38</v>
      </c>
      <c r="B38" s="37" t="s">
        <v>126</v>
      </c>
      <c r="C38" s="118" t="s">
        <v>184</v>
      </c>
      <c r="D38" s="118" t="s">
        <v>185</v>
      </c>
      <c r="E38" s="118"/>
      <c r="F38" s="118"/>
      <c r="G38" s="118" t="s">
        <v>186</v>
      </c>
      <c r="H38" s="120">
        <v>46062</v>
      </c>
      <c r="I38" s="121">
        <v>46043</v>
      </c>
      <c r="J38" s="124" t="s">
        <v>187</v>
      </c>
      <c r="K38" s="24"/>
      <c r="L38" s="29" t="str" cm="1">
        <f t="array" ref="L38">IFERROR(_xlfn.TEXTJOIN(", ", TRUE, IF(ISNUMBER(SEARCH(D38, D:D)), ROW(D:D), "")), "Kein Treffer")</f>
        <v>38</v>
      </c>
      <c r="M38" s="172"/>
      <c r="N38" s="172"/>
    </row>
    <row r="39" spans="1:14" ht="15">
      <c r="A39" s="110"/>
      <c r="B39" s="110"/>
      <c r="C39" s="40" t="s">
        <v>188</v>
      </c>
      <c r="D39" s="126"/>
      <c r="E39" s="126"/>
      <c r="F39" s="126"/>
      <c r="G39" s="126"/>
      <c r="H39" s="113"/>
      <c r="I39" s="127"/>
      <c r="J39" s="114"/>
      <c r="K39" s="111"/>
      <c r="L39" s="28"/>
      <c r="M39" s="173"/>
      <c r="N39" s="173"/>
    </row>
    <row r="40" spans="1:14" ht="37.5" customHeight="1">
      <c r="A40" s="45"/>
      <c r="B40" s="117" t="s">
        <v>126</v>
      </c>
      <c r="C40" s="41" t="s">
        <v>189</v>
      </c>
      <c r="D40" s="118" t="s">
        <v>190</v>
      </c>
      <c r="E40" s="118"/>
      <c r="F40" s="118"/>
      <c r="G40" s="118" t="s">
        <v>191</v>
      </c>
      <c r="H40" s="120">
        <v>46053</v>
      </c>
      <c r="I40" s="121">
        <v>46048</v>
      </c>
      <c r="J40" s="124"/>
      <c r="K40" s="24"/>
      <c r="L40" s="29" t="str" cm="1">
        <f t="array" ref="L40">IFERROR(_xlfn.TEXTJOIN(", ", TRUE, IF(ISNUMBER(SEARCH(D40, D:D)), ROW(D:D), "")), "Kein Treffer")</f>
        <v>40</v>
      </c>
      <c r="M40" s="172"/>
      <c r="N40" s="172"/>
    </row>
    <row r="41" spans="1:14" ht="15.4">
      <c r="A41" s="45"/>
      <c r="B41" s="117" t="s">
        <v>126</v>
      </c>
      <c r="C41" s="41" t="s">
        <v>192</v>
      </c>
      <c r="D41" s="118" t="s">
        <v>193</v>
      </c>
      <c r="E41" s="118"/>
      <c r="F41" s="118"/>
      <c r="G41" s="118" t="s">
        <v>194</v>
      </c>
      <c r="H41" s="120">
        <v>46053</v>
      </c>
      <c r="I41" s="121">
        <v>46048</v>
      </c>
      <c r="J41" s="124"/>
      <c r="K41" s="24"/>
      <c r="L41" s="29" t="str" cm="1">
        <f t="array" ref="L41">IFERROR(_xlfn.TEXTJOIN(", ", TRUE, IF(ISNUMBER(SEARCH(D41, D:D)), ROW(D:D), "")), "Kein Treffer")</f>
        <v>41</v>
      </c>
      <c r="M41" s="172"/>
      <c r="N41" s="172"/>
    </row>
    <row r="42" spans="1:14" ht="15.4">
      <c r="A42" s="45"/>
      <c r="B42" s="117" t="s">
        <v>126</v>
      </c>
      <c r="C42" s="41" t="s">
        <v>195</v>
      </c>
      <c r="D42" s="118" t="s">
        <v>196</v>
      </c>
      <c r="E42" s="162"/>
      <c r="F42" s="162"/>
      <c r="G42" s="62" t="s">
        <v>197</v>
      </c>
      <c r="H42" s="120">
        <v>46061</v>
      </c>
      <c r="I42" s="121">
        <v>46048</v>
      </c>
      <c r="J42" s="124" t="s">
        <v>198</v>
      </c>
      <c r="K42" s="24"/>
      <c r="L42" s="29" t="str" cm="1">
        <f t="array" ref="L42">IFERROR(_xlfn.TEXTJOIN(", ", TRUE, IF(ISNUMBER(SEARCH(D42, D:D)), ROW(D:D), "")), "Kein Treffer")</f>
        <v>42</v>
      </c>
      <c r="M42" s="172"/>
      <c r="N42" s="172"/>
    </row>
    <row r="43" spans="1:14" ht="30">
      <c r="A43" s="132"/>
      <c r="B43" s="37"/>
      <c r="C43" s="41" t="s">
        <v>199</v>
      </c>
      <c r="D43" s="46" t="s">
        <v>200</v>
      </c>
      <c r="E43" s="163"/>
      <c r="F43" s="163"/>
      <c r="G43" s="133" t="s">
        <v>201</v>
      </c>
      <c r="H43" s="134">
        <v>46074</v>
      </c>
      <c r="I43" s="135"/>
      <c r="J43" s="136"/>
      <c r="K43" s="47" t="s">
        <v>202</v>
      </c>
      <c r="L43" s="29" t="str" cm="1">
        <f t="array" ref="L43">IFERROR(_xlfn.TEXTJOIN(", ", TRUE, IF(ISNUMBER(SEARCH(D43, D:D)), ROW(D:D), "")), "Kein Treffer")</f>
        <v>43</v>
      </c>
      <c r="M43" s="175"/>
      <c r="N43" s="175"/>
    </row>
    <row r="44" spans="1:14" ht="30">
      <c r="A44" s="137"/>
      <c r="B44" s="37" t="s">
        <v>96</v>
      </c>
      <c r="C44" s="41" t="s">
        <v>203</v>
      </c>
      <c r="D44" s="138" t="s">
        <v>204</v>
      </c>
      <c r="E44" s="138"/>
      <c r="F44" s="138"/>
      <c r="G44" s="138" t="s">
        <v>76</v>
      </c>
      <c r="H44" s="139">
        <v>46072</v>
      </c>
      <c r="I44" s="119" t="s">
        <v>205</v>
      </c>
      <c r="J44" s="140"/>
      <c r="K44" s="51" t="s">
        <v>206</v>
      </c>
      <c r="L44" s="29" t="str" cm="1">
        <f t="array" ref="L44">IFERROR(_xlfn.TEXTJOIN(", ", TRUE, IF(ISNUMBER(SEARCH(D44, D:D)), ROW(D:D), "")), "Kein Treffer")</f>
        <v>44</v>
      </c>
      <c r="M44" s="176"/>
      <c r="N44" s="176"/>
    </row>
    <row r="45" spans="1:14" ht="28.5">
      <c r="A45" s="117"/>
      <c r="B45" s="117"/>
      <c r="C45" s="41" t="s">
        <v>207</v>
      </c>
      <c r="D45" s="141" t="s">
        <v>208</v>
      </c>
      <c r="E45" s="141"/>
      <c r="F45" s="141"/>
      <c r="G45" s="141" t="s">
        <v>209</v>
      </c>
      <c r="H45" s="142">
        <v>46066</v>
      </c>
      <c r="I45" s="121"/>
      <c r="J45" s="143"/>
      <c r="K45" s="52" t="s">
        <v>210</v>
      </c>
      <c r="L45" s="29" t="str" cm="1">
        <f t="array" ref="L45">IFERROR(_xlfn.TEXTJOIN(", ", TRUE, IF(ISNUMBER(SEARCH(D45, D:D)), ROW(D:D), "")), "Kein Treffer")</f>
        <v>45</v>
      </c>
      <c r="M45" s="177"/>
      <c r="N45" s="177"/>
    </row>
    <row r="46" spans="1:14" ht="30">
      <c r="A46" s="117"/>
      <c r="B46" s="117"/>
      <c r="C46" s="118" t="s">
        <v>211</v>
      </c>
      <c r="D46" s="118" t="s">
        <v>212</v>
      </c>
      <c r="E46" s="118"/>
      <c r="F46" s="118"/>
      <c r="G46" s="118" t="s">
        <v>213</v>
      </c>
      <c r="H46" s="120">
        <v>46076</v>
      </c>
      <c r="I46" s="121"/>
      <c r="J46" s="124"/>
      <c r="K46" s="27" t="s">
        <v>214</v>
      </c>
      <c r="L46" s="29" t="str" cm="1">
        <f t="array" ref="L46">IFERROR(_xlfn.TEXTJOIN(", ", TRUE, IF(ISNUMBER(SEARCH(D46, D:D)), ROW(D:D), "")), "Kein Treffer")</f>
        <v>46</v>
      </c>
      <c r="M46" s="172"/>
      <c r="N46" s="172"/>
    </row>
    <row r="47" spans="1:14" ht="30">
      <c r="A47" s="116" t="s">
        <v>95</v>
      </c>
      <c r="B47" s="117" t="s">
        <v>96</v>
      </c>
      <c r="C47" s="118" t="s">
        <v>215</v>
      </c>
      <c r="D47" s="118" t="s">
        <v>216</v>
      </c>
      <c r="E47" s="118"/>
      <c r="F47" s="118"/>
      <c r="G47" s="118" t="s">
        <v>217</v>
      </c>
      <c r="H47" s="120">
        <v>46065</v>
      </c>
      <c r="I47" s="119" t="s">
        <v>218</v>
      </c>
      <c r="J47" s="124"/>
      <c r="K47" s="27" t="s">
        <v>219</v>
      </c>
      <c r="L47" s="29" t="str" cm="1">
        <f t="array" ref="L47">IFERROR(_xlfn.TEXTJOIN(", ", TRUE, IF(ISNUMBER(SEARCH(D47, D:D)), ROW(D:D), "")), "Kein Treffer")</f>
        <v>47</v>
      </c>
      <c r="M47" s="172"/>
      <c r="N47" s="172"/>
    </row>
    <row r="48" spans="1:14" ht="42.75">
      <c r="A48" s="117"/>
      <c r="B48" s="117" t="s">
        <v>15</v>
      </c>
      <c r="C48" s="118" t="s">
        <v>220</v>
      </c>
      <c r="D48" s="118" t="s">
        <v>221</v>
      </c>
      <c r="E48" s="118"/>
      <c r="F48" s="118"/>
      <c r="G48" s="118" t="s">
        <v>222</v>
      </c>
      <c r="H48" s="120">
        <v>46068</v>
      </c>
      <c r="I48" s="121"/>
      <c r="J48" s="13"/>
      <c r="K48" s="27" t="s">
        <v>223</v>
      </c>
      <c r="L48" s="29" t="str" cm="1">
        <f t="array" ref="L48">IFERROR(_xlfn.TEXTJOIN(", ", TRUE, IF(ISNUMBER(SEARCH(D48, D:D)), ROW(D:D), "")), "Kein Treffer")</f>
        <v>48, 66</v>
      </c>
      <c r="M48" s="172"/>
      <c r="N48" s="172"/>
    </row>
    <row r="49" spans="1:14" ht="28.5">
      <c r="A49" s="131"/>
      <c r="B49" s="117" t="s">
        <v>15</v>
      </c>
      <c r="C49" s="118" t="s">
        <v>224</v>
      </c>
      <c r="D49" s="118" t="s">
        <v>225</v>
      </c>
      <c r="E49" s="118"/>
      <c r="F49" s="118"/>
      <c r="G49" s="118" t="s">
        <v>76</v>
      </c>
      <c r="H49" s="120" t="s">
        <v>226</v>
      </c>
      <c r="I49" s="121"/>
      <c r="J49" s="124"/>
      <c r="K49" s="27" t="s">
        <v>227</v>
      </c>
      <c r="L49" s="29" t="str" cm="1">
        <f t="array" ref="L49">IFERROR(_xlfn.TEXTJOIN(", ", TRUE, IF(ISNUMBER(SEARCH(D49, D:D)), ROW(D:D), "")), "Kein Treffer")</f>
        <v>49</v>
      </c>
      <c r="M49" s="172"/>
      <c r="N49" s="172"/>
    </row>
    <row r="50" spans="1:14" ht="42.75">
      <c r="A50" s="144"/>
      <c r="B50" s="117" t="s">
        <v>15</v>
      </c>
      <c r="C50" s="118" t="s">
        <v>228</v>
      </c>
      <c r="D50" s="118" t="s">
        <v>229</v>
      </c>
      <c r="E50" s="118"/>
      <c r="F50" s="118"/>
      <c r="G50" s="118" t="s">
        <v>230</v>
      </c>
      <c r="H50" s="120">
        <v>46081</v>
      </c>
      <c r="I50" s="71" t="s">
        <v>231</v>
      </c>
      <c r="J50" s="124"/>
      <c r="K50" s="27" t="s">
        <v>232</v>
      </c>
      <c r="L50" s="29" t="str" cm="1">
        <f t="array" ref="L50">IFERROR(_xlfn.TEXTJOIN(", ", TRUE, IF(ISNUMBER(SEARCH(D50, D:D)), ROW(D:D), "")), "Kein Treffer")</f>
        <v>50</v>
      </c>
      <c r="M50" s="172"/>
      <c r="N50" s="172"/>
    </row>
    <row r="51" spans="1:14" ht="30">
      <c r="A51" s="117"/>
      <c r="B51" s="117" t="s">
        <v>15</v>
      </c>
      <c r="C51" s="118" t="s">
        <v>233</v>
      </c>
      <c r="D51" s="118" t="s">
        <v>234</v>
      </c>
      <c r="E51" s="118"/>
      <c r="F51" s="118"/>
      <c r="G51" s="50" t="s">
        <v>235</v>
      </c>
      <c r="H51" s="120">
        <v>46068</v>
      </c>
      <c r="I51" s="121"/>
      <c r="J51" s="124"/>
      <c r="K51" s="27" t="s">
        <v>236</v>
      </c>
      <c r="L51" s="29" t="str" cm="1">
        <f t="array" ref="L51">IFERROR(_xlfn.TEXTJOIN(", ", TRUE, IF(ISNUMBER(SEARCH(D51, D:D)), ROW(D:D), "")), "Kein Treffer")</f>
        <v>51</v>
      </c>
      <c r="M51" s="172"/>
      <c r="N51" s="172"/>
    </row>
    <row r="52" spans="1:14" ht="57">
      <c r="A52" s="117" t="s">
        <v>38</v>
      </c>
      <c r="B52" s="117"/>
      <c r="C52" s="118" t="s">
        <v>237</v>
      </c>
      <c r="D52" s="118" t="s">
        <v>238</v>
      </c>
      <c r="E52" s="118"/>
      <c r="F52" s="118"/>
      <c r="G52" s="50" t="s">
        <v>239</v>
      </c>
      <c r="H52" s="120">
        <v>46059</v>
      </c>
      <c r="I52" s="121"/>
      <c r="J52" s="124"/>
      <c r="K52" s="27" t="s">
        <v>240</v>
      </c>
      <c r="L52" s="29" t="str" cm="1">
        <f t="array" ref="L52">IFERROR(_xlfn.TEXTJOIN(", ", TRUE, IF(ISNUMBER(SEARCH(D52, D:D)), ROW(D:D), "")), "Kein Treffer")</f>
        <v>52</v>
      </c>
      <c r="M52" s="172"/>
      <c r="N52" s="172"/>
    </row>
    <row r="53" spans="1:14" ht="28.5">
      <c r="A53" s="117"/>
      <c r="B53" s="117"/>
      <c r="C53" s="118" t="s">
        <v>241</v>
      </c>
      <c r="D53" s="118" t="s">
        <v>242</v>
      </c>
      <c r="E53" s="118"/>
      <c r="F53" s="118"/>
      <c r="G53" s="50" t="s">
        <v>243</v>
      </c>
      <c r="H53" s="120">
        <v>46081</v>
      </c>
      <c r="I53" s="121"/>
      <c r="J53" s="124"/>
      <c r="K53" s="27" t="s">
        <v>244</v>
      </c>
      <c r="L53" s="29" t="str" cm="1">
        <f t="array" ref="L53">IFERROR(_xlfn.TEXTJOIN(", ", TRUE, IF(ISNUMBER(SEARCH(D53, D:D)), ROW(D:D), "")), "Kein Treffer")</f>
        <v>53</v>
      </c>
      <c r="M53" s="172"/>
      <c r="N53" s="172"/>
    </row>
    <row r="54" spans="1:14" ht="28.5">
      <c r="A54" s="117"/>
      <c r="B54" s="117" t="s">
        <v>15</v>
      </c>
      <c r="C54" s="12" t="s">
        <v>245</v>
      </c>
      <c r="D54" s="118" t="s">
        <v>246</v>
      </c>
      <c r="E54" s="118"/>
      <c r="F54" s="118"/>
      <c r="G54" s="50" t="s">
        <v>247</v>
      </c>
      <c r="H54" s="120" t="s">
        <v>76</v>
      </c>
      <c r="I54" s="121"/>
      <c r="J54" s="124"/>
      <c r="K54" s="27" t="s">
        <v>248</v>
      </c>
      <c r="L54" s="29" t="str" cm="1">
        <f t="array" ref="L54">IFERROR(_xlfn.TEXTJOIN(", ", TRUE, IF(ISNUMBER(SEARCH(D54, D:D)), ROW(D:D), "")), "Kein Treffer")</f>
        <v>54</v>
      </c>
      <c r="M54" s="172"/>
      <c r="N54" s="172"/>
    </row>
    <row r="55" spans="1:14" ht="58.15">
      <c r="A55" s="58"/>
      <c r="B55" s="37"/>
      <c r="C55" s="53" t="s">
        <v>249</v>
      </c>
      <c r="D55" s="53" t="s">
        <v>250</v>
      </c>
      <c r="E55" s="53"/>
      <c r="F55" s="53"/>
      <c r="G55" s="54" t="s">
        <v>251</v>
      </c>
      <c r="H55" s="55">
        <v>46070</v>
      </c>
      <c r="I55" s="70" t="s">
        <v>252</v>
      </c>
      <c r="J55" s="30"/>
      <c r="K55" s="26" t="s">
        <v>253</v>
      </c>
      <c r="L55" s="29" t="str" cm="1">
        <f t="array" ref="L55">IFERROR(_xlfn.TEXTJOIN(", ", TRUE, IF(ISNUMBER(SEARCH(D55, D:D)), ROW(D:D), "")), "Kein Treffer")</f>
        <v>55</v>
      </c>
      <c r="M55" s="178"/>
      <c r="N55" s="178"/>
    </row>
    <row r="56" spans="1:14" ht="33.75" customHeight="1">
      <c r="A56" s="37"/>
      <c r="B56" s="37" t="s">
        <v>169</v>
      </c>
      <c r="C56" s="53" t="s">
        <v>44</v>
      </c>
      <c r="D56" s="53" t="s">
        <v>45</v>
      </c>
      <c r="E56" s="53"/>
      <c r="F56" s="53"/>
      <c r="G56" s="57" t="s">
        <v>254</v>
      </c>
      <c r="H56" s="55">
        <v>46054</v>
      </c>
      <c r="I56" s="56"/>
      <c r="J56" s="30" t="s">
        <v>255</v>
      </c>
      <c r="K56" s="26" t="s">
        <v>47</v>
      </c>
      <c r="L56" s="29" t="str" cm="1">
        <f t="array" ref="L56">IFERROR(_xlfn.TEXTJOIN(", ", TRUE, IF(ISNUMBER(SEARCH(D56, D:D)), ROW(D:D), "")), "Kein Treffer")</f>
        <v>8, 56</v>
      </c>
      <c r="M56" s="178"/>
      <c r="N56" s="178"/>
    </row>
    <row r="57" spans="1:14" ht="45">
      <c r="A57" s="37"/>
      <c r="C57" s="53" t="s">
        <v>256</v>
      </c>
      <c r="D57" s="53" t="s">
        <v>257</v>
      </c>
      <c r="E57" s="53"/>
      <c r="F57" s="53"/>
      <c r="G57" s="54" t="s">
        <v>258</v>
      </c>
      <c r="H57" s="55">
        <v>46096</v>
      </c>
      <c r="I57" s="56"/>
      <c r="J57" s="30"/>
      <c r="K57" s="26" t="s">
        <v>259</v>
      </c>
      <c r="L57" s="29" t="str" cm="1">
        <f t="array" ref="L57">IFERROR(_xlfn.TEXTJOIN(", ", TRUE, IF(ISNUMBER(SEARCH(D57, D:D)), ROW(D:D), "")), "Kein Treffer")</f>
        <v>57</v>
      </c>
      <c r="M57" s="178"/>
      <c r="N57" s="178"/>
    </row>
    <row r="58" spans="1:14" ht="15.4">
      <c r="A58" s="61"/>
      <c r="B58" s="37" t="s">
        <v>15</v>
      </c>
      <c r="C58" s="53" t="s">
        <v>260</v>
      </c>
      <c r="D58" s="53" t="s">
        <v>261</v>
      </c>
      <c r="E58" s="53"/>
      <c r="F58" s="53"/>
      <c r="G58" s="54" t="s">
        <v>262</v>
      </c>
      <c r="H58" s="55">
        <v>46068</v>
      </c>
      <c r="I58" s="56"/>
      <c r="J58" s="30"/>
      <c r="K58" s="26" t="s">
        <v>263</v>
      </c>
      <c r="L58" s="29" t="str" cm="1">
        <f t="array" ref="L58">IFERROR(_xlfn.TEXTJOIN(", ", TRUE, IF(ISNUMBER(SEARCH(D58, D:D)), ROW(D:D), "")), "Kein Treffer")</f>
        <v>58, 133</v>
      </c>
      <c r="M58" s="178"/>
      <c r="N58" s="178"/>
    </row>
    <row r="59" spans="1:14" ht="30">
      <c r="A59" s="58"/>
      <c r="B59" s="37" t="s">
        <v>96</v>
      </c>
      <c r="C59" s="53" t="s">
        <v>264</v>
      </c>
      <c r="D59" s="53" t="s">
        <v>265</v>
      </c>
      <c r="E59" s="53"/>
      <c r="F59" s="53"/>
      <c r="G59" s="54" t="s">
        <v>266</v>
      </c>
      <c r="H59" s="55">
        <v>46056</v>
      </c>
      <c r="I59" s="59" t="s">
        <v>267</v>
      </c>
      <c r="J59" s="30"/>
      <c r="K59" s="26" t="s">
        <v>268</v>
      </c>
      <c r="L59" s="29" t="str" cm="1">
        <f t="array" ref="L59">IFERROR(_xlfn.TEXTJOIN(", ", TRUE, IF(ISNUMBER(SEARCH(D59, D:D)), ROW(D:D), "")), "Kein Treffer")</f>
        <v>59</v>
      </c>
      <c r="M59" s="178"/>
      <c r="N59" s="178"/>
    </row>
    <row r="60" spans="1:14" ht="15.4">
      <c r="A60" s="58"/>
      <c r="B60" s="37" t="s">
        <v>15</v>
      </c>
      <c r="C60" s="53" t="s">
        <v>269</v>
      </c>
      <c r="D60" s="53" t="s">
        <v>270</v>
      </c>
      <c r="E60" s="53"/>
      <c r="F60" s="53"/>
      <c r="G60" s="54"/>
      <c r="H60" s="55">
        <v>46053</v>
      </c>
      <c r="I60" s="56"/>
      <c r="J60" s="30"/>
      <c r="K60" s="63" t="s">
        <v>271</v>
      </c>
      <c r="L60" s="29" t="str" cm="1">
        <f t="array" ref="L60">IFERROR(_xlfn.TEXTJOIN(", ", TRUE, IF(ISNUMBER(SEARCH(D60, D:D)), ROW(D:D), "")), "Kein Treffer")</f>
        <v>60</v>
      </c>
      <c r="M60" s="178"/>
      <c r="N60" s="178"/>
    </row>
    <row r="61" spans="1:14" ht="15.4">
      <c r="A61" s="45"/>
      <c r="B61" s="37" t="s">
        <v>126</v>
      </c>
      <c r="C61" s="53" t="s">
        <v>272</v>
      </c>
      <c r="D61" s="53" t="s">
        <v>273</v>
      </c>
      <c r="E61" s="164"/>
      <c r="F61" s="164"/>
      <c r="G61" s="151" t="s">
        <v>274</v>
      </c>
      <c r="H61" s="55" t="s">
        <v>275</v>
      </c>
      <c r="I61" s="56" t="s">
        <v>276</v>
      </c>
      <c r="J61" s="30"/>
      <c r="K61" s="26"/>
      <c r="L61" s="29" t="str" cm="1">
        <f t="array" ref="L61">IFERROR(_xlfn.TEXTJOIN(", ", TRUE, IF(ISNUMBER(SEARCH(D61, D:D)), ROW(D:D), "")), "Kein Treffer")</f>
        <v>61</v>
      </c>
      <c r="M61" s="178"/>
      <c r="N61" s="178"/>
    </row>
    <row r="62" spans="1:14" ht="15.4">
      <c r="A62" s="110"/>
      <c r="B62" s="110"/>
      <c r="C62" s="40" t="s">
        <v>277</v>
      </c>
      <c r="D62" s="126"/>
      <c r="E62" s="126"/>
      <c r="F62" s="126"/>
      <c r="G62" s="126"/>
      <c r="H62" s="113"/>
      <c r="I62" s="127"/>
      <c r="J62" s="114"/>
      <c r="K62" s="111"/>
      <c r="L62" s="115"/>
      <c r="M62" s="173"/>
      <c r="N62" s="173"/>
    </row>
    <row r="63" spans="1:14" ht="42.75">
      <c r="A63" s="116"/>
      <c r="B63" s="117" t="s">
        <v>96</v>
      </c>
      <c r="C63" s="118" t="s">
        <v>278</v>
      </c>
      <c r="D63" s="118" t="s">
        <v>279</v>
      </c>
      <c r="E63" s="118"/>
      <c r="F63" s="118"/>
      <c r="G63" s="118" t="s">
        <v>280</v>
      </c>
      <c r="H63" s="120" t="s">
        <v>281</v>
      </c>
      <c r="I63" s="119" t="s">
        <v>282</v>
      </c>
      <c r="J63" s="124"/>
      <c r="K63" s="27" t="s">
        <v>283</v>
      </c>
      <c r="L63" s="123" t="str" cm="1">
        <f t="array" ref="L63">IFERROR(_xlfn.TEXTJOIN(", ", TRUE, IF(ISNUMBER(SEARCH(D63, D:D)), ROW(D:D), "")), "Kein Treffer")</f>
        <v>63</v>
      </c>
      <c r="M63" s="172"/>
      <c r="N63" s="172"/>
    </row>
    <row r="64" spans="1:14" ht="15.4">
      <c r="A64" s="117"/>
      <c r="B64" s="117"/>
      <c r="C64" s="118" t="s">
        <v>284</v>
      </c>
      <c r="D64" s="118" t="s">
        <v>285</v>
      </c>
      <c r="E64" s="118"/>
      <c r="F64" s="118"/>
      <c r="G64" s="118" t="s">
        <v>76</v>
      </c>
      <c r="H64" s="120" t="s">
        <v>76</v>
      </c>
      <c r="I64" s="121"/>
      <c r="J64" s="124"/>
      <c r="K64" s="27" t="s">
        <v>286</v>
      </c>
      <c r="L64" s="123" t="str" cm="1">
        <f t="array" ref="L64">IFERROR(_xlfn.TEXTJOIN(", ", TRUE, IF(ISNUMBER(SEARCH(D64, D:D)), ROW(D:D), "")), "Kein Treffer")</f>
        <v>64</v>
      </c>
      <c r="M64" s="172"/>
      <c r="N64" s="172"/>
    </row>
    <row r="65" spans="1:14" ht="28.5">
      <c r="A65" s="117"/>
      <c r="B65" s="117" t="s">
        <v>169</v>
      </c>
      <c r="C65" s="118" t="s">
        <v>287</v>
      </c>
      <c r="D65" s="118" t="s">
        <v>288</v>
      </c>
      <c r="E65" s="118"/>
      <c r="F65" s="118"/>
      <c r="G65" s="118" t="s">
        <v>76</v>
      </c>
      <c r="H65" s="120" t="s">
        <v>289</v>
      </c>
      <c r="I65" s="121"/>
      <c r="J65" s="124"/>
      <c r="K65" s="27" t="s">
        <v>290</v>
      </c>
      <c r="L65" s="123" t="str" cm="1">
        <f t="array" ref="L65">IFERROR(_xlfn.TEXTJOIN(", ", TRUE, IF(ISNUMBER(SEARCH(D65, D:D)), ROW(D:D), "")), "Kein Treffer")</f>
        <v>65</v>
      </c>
      <c r="M65" s="172"/>
      <c r="N65" s="172"/>
    </row>
    <row r="66" spans="1:14" ht="30">
      <c r="A66" s="117"/>
      <c r="B66" s="37" t="s">
        <v>55</v>
      </c>
      <c r="C66" s="118" t="s">
        <v>291</v>
      </c>
      <c r="D66" s="118" t="s">
        <v>221</v>
      </c>
      <c r="E66" s="118"/>
      <c r="F66" s="118"/>
      <c r="G66" s="118" t="s">
        <v>292</v>
      </c>
      <c r="H66" s="120" t="s">
        <v>293</v>
      </c>
      <c r="I66" s="121"/>
      <c r="J66" s="124"/>
      <c r="K66" s="26" t="s">
        <v>294</v>
      </c>
      <c r="L66" s="29" t="str" cm="1">
        <f t="array" ref="L66">IFERROR(_xlfn.TEXTJOIN(", ", TRUE, IF(ISNUMBER(SEARCH(D66, D:D)), ROW(D:D), "")), "Kein Treffer")</f>
        <v>48, 66</v>
      </c>
      <c r="M66" s="172"/>
      <c r="N66" s="172"/>
    </row>
    <row r="67" spans="1:14" ht="45">
      <c r="A67" s="116"/>
      <c r="B67" s="37" t="s">
        <v>96</v>
      </c>
      <c r="C67" s="118" t="s">
        <v>295</v>
      </c>
      <c r="D67" s="118" t="s">
        <v>296</v>
      </c>
      <c r="E67" s="118"/>
      <c r="F67" s="118"/>
      <c r="G67" s="118" t="s">
        <v>297</v>
      </c>
      <c r="H67" s="120" t="s">
        <v>298</v>
      </c>
      <c r="I67" s="119" t="s">
        <v>282</v>
      </c>
      <c r="J67" s="124"/>
      <c r="K67" s="26" t="s">
        <v>299</v>
      </c>
      <c r="L67" s="29" t="str" cm="1">
        <f t="array" ref="L67">IFERROR(_xlfn.TEXTJOIN(", ", TRUE, IF(ISNUMBER(SEARCH(D67, D:D)), ROW(D:D), "")), "Kein Treffer")</f>
        <v>67</v>
      </c>
      <c r="M67" s="172"/>
      <c r="N67" s="172"/>
    </row>
    <row r="68" spans="1:14" ht="30">
      <c r="A68" s="117"/>
      <c r="B68" s="37"/>
      <c r="C68" s="118" t="s">
        <v>300</v>
      </c>
      <c r="D68" s="118" t="s">
        <v>301</v>
      </c>
      <c r="E68" s="118"/>
      <c r="F68" s="118"/>
      <c r="G68" s="118" t="s">
        <v>302</v>
      </c>
      <c r="H68" s="120"/>
      <c r="I68" s="121"/>
      <c r="J68" s="124"/>
      <c r="K68" s="26" t="s">
        <v>303</v>
      </c>
      <c r="L68" s="29" t="str" cm="1">
        <f t="array" ref="L68">IFERROR(_xlfn.TEXTJOIN(", ", TRUE, IF(ISNUMBER(SEARCH(D68, D:D)), ROW(D:D), "")), "Kein Treffer")</f>
        <v>68</v>
      </c>
      <c r="M68" s="172"/>
      <c r="N68" s="172"/>
    </row>
    <row r="69" spans="1:14" ht="28.5">
      <c r="A69" s="117"/>
      <c r="B69" s="37"/>
      <c r="C69" s="118" t="s">
        <v>304</v>
      </c>
      <c r="D69" s="118" t="s">
        <v>305</v>
      </c>
      <c r="E69" s="118"/>
      <c r="F69" s="118"/>
      <c r="G69" s="118" t="s">
        <v>306</v>
      </c>
      <c r="H69" s="120" t="s">
        <v>307</v>
      </c>
      <c r="I69" s="121"/>
      <c r="J69" s="124"/>
      <c r="K69" s="26" t="s">
        <v>308</v>
      </c>
      <c r="L69" s="29" t="str" cm="1">
        <f t="array" ref="L69">IFERROR(_xlfn.TEXTJOIN(", ", TRUE, IF(ISNUMBER(SEARCH(D69, D:D)), ROW(D:D), "")), "Kein Treffer")</f>
        <v>69</v>
      </c>
      <c r="M69" s="172"/>
      <c r="N69" s="172"/>
    </row>
    <row r="70" spans="1:14" ht="30">
      <c r="A70" s="117"/>
      <c r="B70" s="37" t="s">
        <v>131</v>
      </c>
      <c r="C70" s="118" t="s">
        <v>309</v>
      </c>
      <c r="D70" s="118" t="s">
        <v>310</v>
      </c>
      <c r="E70" s="118"/>
      <c r="F70" s="118"/>
      <c r="G70" s="145" t="s">
        <v>311</v>
      </c>
      <c r="H70" s="120" t="s">
        <v>289</v>
      </c>
      <c r="I70" s="146" t="s">
        <v>312</v>
      </c>
      <c r="J70" s="124"/>
      <c r="K70" s="26" t="s">
        <v>313</v>
      </c>
      <c r="L70" s="29" t="str" cm="1">
        <f t="array" ref="L70">IFERROR(_xlfn.TEXTJOIN(", ", TRUE, IF(ISNUMBER(SEARCH(D70, D:D)), ROW(D:D), "")), "Kein Treffer")</f>
        <v>70</v>
      </c>
      <c r="M70" s="172"/>
      <c r="N70" s="172"/>
    </row>
    <row r="71" spans="1:14" ht="28.5">
      <c r="A71" s="117"/>
      <c r="B71" s="37"/>
      <c r="C71" s="118" t="s">
        <v>314</v>
      </c>
      <c r="D71" s="118" t="s">
        <v>315</v>
      </c>
      <c r="E71" s="118"/>
      <c r="F71" s="118"/>
      <c r="G71" s="118" t="s">
        <v>316</v>
      </c>
      <c r="H71" s="120" t="s">
        <v>76</v>
      </c>
      <c r="I71" s="121"/>
      <c r="J71" s="124"/>
      <c r="K71" s="26" t="s">
        <v>317</v>
      </c>
      <c r="L71" s="29" t="str" cm="1">
        <f t="array" ref="L71">IFERROR(_xlfn.TEXTJOIN(", ", TRUE, IF(ISNUMBER(SEARCH(D71, D:D)), ROW(D:D), "")), "Kein Treffer")</f>
        <v>71</v>
      </c>
      <c r="M71" s="172"/>
      <c r="N71" s="172"/>
    </row>
    <row r="72" spans="1:14" ht="30">
      <c r="A72" s="117"/>
      <c r="B72" s="37" t="s">
        <v>32</v>
      </c>
      <c r="C72" s="118" t="s">
        <v>318</v>
      </c>
      <c r="D72" s="118" t="s">
        <v>319</v>
      </c>
      <c r="E72" s="118"/>
      <c r="F72" s="118"/>
      <c r="G72" s="118" t="s">
        <v>320</v>
      </c>
      <c r="H72" s="120" t="s">
        <v>321</v>
      </c>
      <c r="I72" s="121"/>
      <c r="J72" s="124"/>
      <c r="K72" s="26" t="s">
        <v>322</v>
      </c>
      <c r="L72" s="29" t="str" cm="1">
        <f t="array" ref="L72">IFERROR(_xlfn.TEXTJOIN(", ", TRUE, IF(ISNUMBER(SEARCH(D72, D:D)), ROW(D:D), "")), "Kein Treffer")</f>
        <v>72</v>
      </c>
      <c r="M72" s="172"/>
      <c r="N72" s="172"/>
    </row>
    <row r="73" spans="1:14" ht="15.4">
      <c r="A73" s="117"/>
      <c r="B73" s="37"/>
      <c r="C73" s="53" t="s">
        <v>323</v>
      </c>
      <c r="D73" s="118" t="s">
        <v>324</v>
      </c>
      <c r="E73" s="118"/>
      <c r="F73" s="118"/>
      <c r="G73" s="118" t="s">
        <v>325</v>
      </c>
      <c r="H73" s="120" t="s">
        <v>326</v>
      </c>
      <c r="I73" s="121"/>
      <c r="J73" s="124"/>
      <c r="K73" s="26" t="s">
        <v>327</v>
      </c>
      <c r="L73" s="29" t="str" cm="1">
        <f t="array" ref="L73">IFERROR(_xlfn.TEXTJOIN(", ", TRUE, IF(ISNUMBER(SEARCH(D73, D:D)), ROW(D:D), "")), "Kein Treffer")</f>
        <v>73</v>
      </c>
      <c r="M73" s="172"/>
      <c r="N73" s="172"/>
    </row>
    <row r="74" spans="1:14" ht="30">
      <c r="A74" s="117"/>
      <c r="B74" s="37" t="s">
        <v>96</v>
      </c>
      <c r="C74" s="53" t="s">
        <v>328</v>
      </c>
      <c r="D74" s="118" t="s">
        <v>329</v>
      </c>
      <c r="E74" s="118"/>
      <c r="F74" s="118"/>
      <c r="G74" s="118" t="s">
        <v>76</v>
      </c>
      <c r="H74" s="120" t="s">
        <v>321</v>
      </c>
      <c r="I74" s="119" t="s">
        <v>330</v>
      </c>
      <c r="J74" s="124"/>
      <c r="K74" s="26" t="s">
        <v>331</v>
      </c>
      <c r="L74" s="29" t="str" cm="1">
        <f t="array" ref="L74">IFERROR(_xlfn.TEXTJOIN(", ", TRUE, IF(ISNUMBER(SEARCH(D74, D:D)), ROW(D:D), "")), "Kein Treffer")</f>
        <v>74</v>
      </c>
      <c r="M74" s="172"/>
      <c r="N74" s="172"/>
    </row>
    <row r="75" spans="1:14" ht="45">
      <c r="A75" s="117"/>
      <c r="B75" s="37" t="s">
        <v>55</v>
      </c>
      <c r="C75" s="118" t="s">
        <v>332</v>
      </c>
      <c r="D75" s="118" t="s">
        <v>333</v>
      </c>
      <c r="E75" s="118"/>
      <c r="F75" s="118"/>
      <c r="G75" s="118" t="s">
        <v>334</v>
      </c>
      <c r="H75" s="120" t="s">
        <v>335</v>
      </c>
      <c r="I75" s="121"/>
      <c r="J75" s="124"/>
      <c r="K75" s="26" t="s">
        <v>336</v>
      </c>
      <c r="L75" s="29" t="str" cm="1">
        <f t="array" ref="L75">IFERROR(_xlfn.TEXTJOIN(", ", TRUE, IF(ISNUMBER(SEARCH(D75, D:D)), ROW(D:D), "")), "Kein Treffer")</f>
        <v>75</v>
      </c>
      <c r="M75" s="172"/>
      <c r="N75" s="172"/>
    </row>
    <row r="76" spans="1:14" ht="30">
      <c r="A76" s="117"/>
      <c r="B76" s="37"/>
      <c r="C76" s="118" t="s">
        <v>337</v>
      </c>
      <c r="D76" s="118" t="s">
        <v>338</v>
      </c>
      <c r="E76" s="118"/>
      <c r="F76" s="118"/>
      <c r="G76" s="118" t="s">
        <v>339</v>
      </c>
      <c r="H76" s="120" t="s">
        <v>298</v>
      </c>
      <c r="I76" s="121"/>
      <c r="J76" s="124"/>
      <c r="K76" s="26" t="s">
        <v>340</v>
      </c>
      <c r="L76" s="29" t="str" cm="1">
        <f t="array" ref="L76">IFERROR(_xlfn.TEXTJOIN(", ", TRUE, IF(ISNUMBER(SEARCH(D76, D:D)), ROW(D:D), "")), "Kein Treffer")</f>
        <v>76</v>
      </c>
      <c r="M76" s="172"/>
      <c r="N76" s="172"/>
    </row>
    <row r="77" spans="1:14" ht="15.4">
      <c r="A77" s="117"/>
      <c r="B77" s="37" t="s">
        <v>32</v>
      </c>
      <c r="C77" s="118" t="s">
        <v>341</v>
      </c>
      <c r="D77" s="118" t="s">
        <v>342</v>
      </c>
      <c r="E77" s="118"/>
      <c r="F77" s="118"/>
      <c r="G77" s="118"/>
      <c r="H77" s="120" t="s">
        <v>343</v>
      </c>
      <c r="I77" s="121"/>
      <c r="J77" s="124"/>
      <c r="K77" s="26" t="s">
        <v>344</v>
      </c>
      <c r="L77" s="29" t="str" cm="1">
        <f t="array" ref="L77">IFERROR(_xlfn.TEXTJOIN(", ", TRUE, IF(ISNUMBER(SEARCH(D77, D:D)), ROW(D:D), "")), "Kein Treffer")</f>
        <v>77</v>
      </c>
      <c r="M77" s="172"/>
      <c r="N77" s="172"/>
    </row>
    <row r="78" spans="1:14" ht="15.4">
      <c r="A78" s="117" t="s">
        <v>38</v>
      </c>
      <c r="B78" s="37"/>
      <c r="C78" s="118" t="s">
        <v>345</v>
      </c>
      <c r="D78" s="118" t="s">
        <v>346</v>
      </c>
      <c r="E78" s="118"/>
      <c r="F78" s="118"/>
      <c r="G78" s="118" t="s">
        <v>347</v>
      </c>
      <c r="H78" s="121" t="s">
        <v>348</v>
      </c>
      <c r="I78" s="121"/>
      <c r="J78" s="124"/>
      <c r="K78" s="26" t="s">
        <v>349</v>
      </c>
      <c r="L78" s="29" t="str" cm="1">
        <f t="array" ref="L78">IFERROR(_xlfn.TEXTJOIN(", ", TRUE, IF(ISNUMBER(SEARCH(D78, D:D)), ROW(D:D), "")), "Kein Treffer")</f>
        <v>78</v>
      </c>
      <c r="M78" s="174"/>
      <c r="N78" s="174"/>
    </row>
    <row r="79" spans="1:14" ht="30">
      <c r="A79" s="116"/>
      <c r="B79" s="37" t="s">
        <v>96</v>
      </c>
      <c r="C79" s="118" t="s">
        <v>350</v>
      </c>
      <c r="D79" s="118" t="s">
        <v>351</v>
      </c>
      <c r="E79" s="118"/>
      <c r="F79" s="118"/>
      <c r="G79" s="118" t="s">
        <v>352</v>
      </c>
      <c r="H79" s="120">
        <v>46068</v>
      </c>
      <c r="I79" s="119" t="s">
        <v>282</v>
      </c>
      <c r="J79" s="124"/>
      <c r="K79" s="26" t="s">
        <v>353</v>
      </c>
      <c r="L79" s="29" t="str" cm="1">
        <f t="array" ref="L79">IFERROR(_xlfn.TEXTJOIN(", ", TRUE, IF(ISNUMBER(SEARCH(D79, D:D)), ROW(D:D), "")), "Kein Treffer")</f>
        <v>79</v>
      </c>
      <c r="M79" s="172"/>
      <c r="N79" s="172"/>
    </row>
    <row r="80" spans="1:14" ht="34.5" customHeight="1">
      <c r="A80" s="116"/>
      <c r="B80" s="37" t="s">
        <v>96</v>
      </c>
      <c r="C80" s="118" t="s">
        <v>354</v>
      </c>
      <c r="D80" s="118" t="s">
        <v>355</v>
      </c>
      <c r="E80" s="118"/>
      <c r="F80" s="118"/>
      <c r="G80" s="118" t="s">
        <v>356</v>
      </c>
      <c r="H80" s="120">
        <v>46078</v>
      </c>
      <c r="I80" s="121"/>
      <c r="J80" s="124"/>
      <c r="K80" s="26" t="s">
        <v>357</v>
      </c>
      <c r="L80" s="29" t="str" cm="1">
        <f t="array" ref="L80">IFERROR(_xlfn.TEXTJOIN(", ", TRUE, IF(ISNUMBER(SEARCH(D80, D:D)), ROW(D:D), "")), "Kein Treffer")</f>
        <v>80</v>
      </c>
      <c r="M80" s="172"/>
      <c r="N80" s="172"/>
    </row>
    <row r="81" spans="1:14" ht="15.4">
      <c r="A81" s="117"/>
      <c r="B81" s="37"/>
      <c r="C81" s="118" t="s">
        <v>358</v>
      </c>
      <c r="D81" s="118" t="s">
        <v>359</v>
      </c>
      <c r="E81" s="118"/>
      <c r="F81" s="118"/>
      <c r="G81" s="118" t="s">
        <v>360</v>
      </c>
      <c r="H81" s="120">
        <v>46073</v>
      </c>
      <c r="I81" s="121"/>
      <c r="J81" s="124"/>
      <c r="K81" s="26" t="s">
        <v>361</v>
      </c>
      <c r="L81" s="29" t="str" cm="1">
        <f t="array" ref="L81">IFERROR(_xlfn.TEXTJOIN(", ", TRUE, IF(ISNUMBER(SEARCH(D81, D:D)), ROW(D:D), "")), "Kein Treffer")</f>
        <v>81</v>
      </c>
      <c r="M81" s="172"/>
      <c r="N81" s="172"/>
    </row>
    <row r="82" spans="1:14" ht="40.5" customHeight="1">
      <c r="A82" s="117"/>
      <c r="B82" s="37"/>
      <c r="C82" s="118" t="s">
        <v>362</v>
      </c>
      <c r="D82" s="118" t="s">
        <v>363</v>
      </c>
      <c r="E82" s="118"/>
      <c r="F82" s="118"/>
      <c r="G82" s="118" t="s">
        <v>364</v>
      </c>
      <c r="H82" s="120">
        <v>46081</v>
      </c>
      <c r="I82" s="121"/>
      <c r="J82" s="124"/>
      <c r="K82" s="26" t="s">
        <v>365</v>
      </c>
      <c r="L82" s="29" t="str" cm="1">
        <f t="array" ref="L82">IFERROR(_xlfn.TEXTJOIN(", ", TRUE, IF(ISNUMBER(SEARCH(D82, D:D)), ROW(D:D), "")), "Kein Treffer")</f>
        <v>82</v>
      </c>
      <c r="M82" s="172"/>
      <c r="N82" s="172"/>
    </row>
    <row r="83" spans="1:14" ht="15.4">
      <c r="A83" s="117"/>
      <c r="B83" s="37" t="s">
        <v>55</v>
      </c>
      <c r="C83" s="118" t="s">
        <v>366</v>
      </c>
      <c r="D83" s="118" t="s">
        <v>367</v>
      </c>
      <c r="E83" s="118"/>
      <c r="F83" s="118"/>
      <c r="G83" s="118" t="s">
        <v>368</v>
      </c>
      <c r="H83" s="120">
        <v>46082</v>
      </c>
      <c r="I83" s="121"/>
      <c r="J83" s="124"/>
      <c r="K83" s="26" t="s">
        <v>369</v>
      </c>
      <c r="L83" s="29" t="str" cm="1">
        <f t="array" ref="L83">IFERROR(_xlfn.TEXTJOIN(", ", TRUE, IF(ISNUMBER(SEARCH(D83, D:D)), ROW(D:D), "")), "Kein Treffer")</f>
        <v>83</v>
      </c>
      <c r="M83" s="172"/>
      <c r="N83" s="172"/>
    </row>
    <row r="84" spans="1:14" ht="32.25" customHeight="1">
      <c r="A84" s="131"/>
      <c r="B84" s="37" t="s">
        <v>15</v>
      </c>
      <c r="C84" s="118" t="s">
        <v>370</v>
      </c>
      <c r="D84" s="118" t="s">
        <v>371</v>
      </c>
      <c r="E84" s="118"/>
      <c r="F84" s="118"/>
      <c r="G84" s="118" t="s">
        <v>372</v>
      </c>
      <c r="H84" s="120">
        <v>46064</v>
      </c>
      <c r="I84" s="121"/>
      <c r="J84" s="124"/>
      <c r="K84" s="26" t="s">
        <v>373</v>
      </c>
      <c r="L84" s="29" t="str" cm="1">
        <f t="array" ref="L84">IFERROR(_xlfn.TEXTJOIN(", ", TRUE, IF(ISNUMBER(SEARCH(D84, D:D)), ROW(D:D), "")), "Kein Treffer")</f>
        <v>84</v>
      </c>
      <c r="M84" s="172"/>
      <c r="N84" s="172"/>
    </row>
    <row r="85" spans="1:14" ht="30">
      <c r="A85" s="116" t="s">
        <v>95</v>
      </c>
      <c r="B85" s="37" t="s">
        <v>131</v>
      </c>
      <c r="C85" s="118" t="s">
        <v>374</v>
      </c>
      <c r="D85" s="118" t="s">
        <v>375</v>
      </c>
      <c r="E85" s="118"/>
      <c r="F85" s="118"/>
      <c r="G85" s="118" t="s">
        <v>376</v>
      </c>
      <c r="H85" s="120">
        <v>46081</v>
      </c>
      <c r="I85" s="121"/>
      <c r="J85" s="124"/>
      <c r="L85" s="29" t="str" cm="1">
        <f t="array" ref="L85">IFERROR(_xlfn.TEXTJOIN(", ", TRUE, IF(ISNUMBER(SEARCH(D85, D:D)), ROW(D:D), "")), "Kein Treffer")</f>
        <v>85</v>
      </c>
      <c r="M85" s="172"/>
      <c r="N85" s="172"/>
    </row>
    <row r="86" spans="1:14" ht="42.75">
      <c r="A86" s="117"/>
      <c r="B86" s="37" t="s">
        <v>55</v>
      </c>
      <c r="C86" s="118" t="s">
        <v>377</v>
      </c>
      <c r="D86" s="118" t="s">
        <v>378</v>
      </c>
      <c r="E86" s="118"/>
      <c r="F86" s="118"/>
      <c r="G86" s="118" t="s">
        <v>292</v>
      </c>
      <c r="H86" s="120">
        <v>46096</v>
      </c>
      <c r="I86" s="121"/>
      <c r="J86" s="124"/>
      <c r="K86" s="26" t="s">
        <v>379</v>
      </c>
      <c r="L86" s="29" t="str" cm="1">
        <f t="array" ref="L86">IFERROR(_xlfn.TEXTJOIN(", ", TRUE, IF(ISNUMBER(SEARCH(D86, D:D)), ROW(D:D), "")), "Kein Treffer")</f>
        <v>86</v>
      </c>
      <c r="M86" s="172"/>
      <c r="N86" s="172"/>
    </row>
    <row r="87" spans="1:14" ht="75">
      <c r="A87" s="117" t="s">
        <v>38</v>
      </c>
      <c r="B87" s="37"/>
      <c r="C87" s="118" t="s">
        <v>380</v>
      </c>
      <c r="D87" s="118" t="s">
        <v>381</v>
      </c>
      <c r="E87" s="118"/>
      <c r="F87" s="118"/>
      <c r="G87" s="118" t="s">
        <v>382</v>
      </c>
      <c r="H87" s="120"/>
      <c r="I87" s="121"/>
      <c r="J87" s="124"/>
      <c r="L87" s="29" t="str" cm="1">
        <f t="array" ref="L87">IFERROR(_xlfn.TEXTJOIN(", ", TRUE, IF(ISNUMBER(SEARCH(D87, D:D)), ROW(D:D), "")), "Kein Treffer")</f>
        <v>87</v>
      </c>
      <c r="M87" s="172"/>
      <c r="N87" s="172"/>
    </row>
    <row r="88" spans="1:14" ht="15.4">
      <c r="A88" s="117"/>
      <c r="B88" s="110"/>
      <c r="C88" s="40" t="s">
        <v>383</v>
      </c>
      <c r="D88" s="126"/>
      <c r="E88" s="126"/>
      <c r="F88" s="126"/>
      <c r="G88" s="126"/>
      <c r="H88" s="113"/>
      <c r="I88" s="127"/>
      <c r="J88" s="114"/>
      <c r="K88" s="111"/>
      <c r="L88" s="115"/>
      <c r="M88" s="173"/>
      <c r="N88" s="173"/>
    </row>
    <row r="89" spans="1:14" ht="60">
      <c r="A89" s="117"/>
      <c r="B89" s="37" t="s">
        <v>15</v>
      </c>
      <c r="C89" s="118" t="s">
        <v>384</v>
      </c>
      <c r="D89" s="118" t="s">
        <v>385</v>
      </c>
      <c r="E89" s="118"/>
      <c r="F89" s="118"/>
      <c r="G89" s="118" t="s">
        <v>386</v>
      </c>
      <c r="H89" s="120">
        <v>46070</v>
      </c>
      <c r="I89" s="121"/>
      <c r="J89" s="124"/>
      <c r="K89" s="31" t="s">
        <v>387</v>
      </c>
      <c r="L89" s="29" t="str" cm="1">
        <f t="array" ref="L89">IFERROR(_xlfn.TEXTJOIN(", ", TRUE, IF(ISNUMBER(SEARCH(D89, D:D)), ROW(D:D), "")), "Kein Treffer")</f>
        <v>89</v>
      </c>
      <c r="M89" s="172"/>
      <c r="N89" s="172"/>
    </row>
    <row r="90" spans="1:14" ht="45">
      <c r="A90" s="144"/>
      <c r="B90" s="37" t="s">
        <v>15</v>
      </c>
      <c r="C90" s="118" t="s">
        <v>388</v>
      </c>
      <c r="D90" s="118" t="s">
        <v>389</v>
      </c>
      <c r="E90" s="118"/>
      <c r="F90" s="118"/>
      <c r="G90" s="118" t="s">
        <v>390</v>
      </c>
      <c r="H90" s="120">
        <v>46076</v>
      </c>
      <c r="I90" s="121"/>
      <c r="J90" s="124"/>
      <c r="K90" s="31" t="s">
        <v>391</v>
      </c>
      <c r="L90" s="29" t="str" cm="1">
        <f t="array" ref="L90">IFERROR(_xlfn.TEXTJOIN(", ", TRUE, IF(ISNUMBER(SEARCH(D90, D:D)), ROW(D:D), "")), "Kein Treffer")</f>
        <v>90</v>
      </c>
      <c r="M90" s="172"/>
      <c r="N90" s="172"/>
    </row>
    <row r="91" spans="1:14" ht="28.5">
      <c r="A91" s="116"/>
      <c r="B91" s="37" t="s">
        <v>96</v>
      </c>
      <c r="C91" s="118" t="s">
        <v>392</v>
      </c>
      <c r="D91" s="118" t="s">
        <v>393</v>
      </c>
      <c r="E91" s="118"/>
      <c r="F91" s="118"/>
      <c r="G91" s="118" t="s">
        <v>394</v>
      </c>
      <c r="H91" s="120">
        <v>46089</v>
      </c>
      <c r="I91" s="121"/>
      <c r="J91" s="124"/>
      <c r="K91" s="31" t="s">
        <v>395</v>
      </c>
      <c r="L91" s="29" t="str" cm="1">
        <f t="array" ref="L91">IFERROR(_xlfn.TEXTJOIN(", ", TRUE, IF(ISNUMBER(SEARCH(D91, D:D)), ROW(D:D), "")), "Kein Treffer")</f>
        <v>91</v>
      </c>
      <c r="M91" s="172"/>
      <c r="N91" s="172"/>
    </row>
    <row r="92" spans="1:14" ht="60">
      <c r="A92" s="116"/>
      <c r="B92" s="37" t="s">
        <v>96</v>
      </c>
      <c r="C92" s="118" t="s">
        <v>396</v>
      </c>
      <c r="D92" s="118" t="s">
        <v>397</v>
      </c>
      <c r="E92" s="118"/>
      <c r="F92" s="118"/>
      <c r="G92" s="118" t="s">
        <v>398</v>
      </c>
      <c r="H92" s="120">
        <v>46089</v>
      </c>
      <c r="I92" s="121"/>
      <c r="J92" s="124"/>
      <c r="K92" s="31" t="s">
        <v>399</v>
      </c>
      <c r="L92" s="29" t="str" cm="1">
        <f t="array" ref="L92">IFERROR(_xlfn.TEXTJOIN(", ", TRUE, IF(ISNUMBER(SEARCH(D92, D:D)), ROW(D:D), "")), "Kein Treffer")</f>
        <v>92</v>
      </c>
      <c r="M92" s="172"/>
      <c r="N92" s="172"/>
    </row>
    <row r="93" spans="1:14" ht="34.9">
      <c r="A93" s="144"/>
      <c r="B93" s="37" t="s">
        <v>15</v>
      </c>
      <c r="C93" s="118" t="s">
        <v>400</v>
      </c>
      <c r="D93" s="118" t="s">
        <v>401</v>
      </c>
      <c r="E93" s="118"/>
      <c r="F93" s="118"/>
      <c r="G93" s="118" t="s">
        <v>402</v>
      </c>
      <c r="H93" s="120">
        <v>46080</v>
      </c>
      <c r="I93" s="72" t="s">
        <v>403</v>
      </c>
      <c r="J93" s="124"/>
      <c r="K93" s="31" t="s">
        <v>404</v>
      </c>
      <c r="L93" s="29" t="str" cm="1">
        <f t="array" ref="L93">IFERROR(_xlfn.TEXTJOIN(", ", TRUE, IF(ISNUMBER(SEARCH(D93, D:D)), ROW(D:D), "")), "Kein Treffer")</f>
        <v>93</v>
      </c>
      <c r="M93" s="172"/>
      <c r="N93" s="172"/>
    </row>
    <row r="94" spans="1:14" ht="57">
      <c r="A94" s="117"/>
      <c r="B94" s="37" t="s">
        <v>32</v>
      </c>
      <c r="C94" s="118" t="s">
        <v>405</v>
      </c>
      <c r="D94" s="118" t="s">
        <v>406</v>
      </c>
      <c r="E94" s="118"/>
      <c r="F94" s="118"/>
      <c r="G94" s="118" t="s">
        <v>407</v>
      </c>
      <c r="H94" s="120">
        <v>46081</v>
      </c>
      <c r="I94" s="121"/>
      <c r="J94" s="124"/>
      <c r="K94" s="31" t="s">
        <v>408</v>
      </c>
      <c r="L94" s="29" t="str" cm="1">
        <f t="array" ref="L94">IFERROR(_xlfn.TEXTJOIN(", ", TRUE, IF(ISNUMBER(SEARCH(D94, D:D)), ROW(D:D), "")), "Kein Treffer")</f>
        <v>94, 120</v>
      </c>
      <c r="M94" s="172"/>
      <c r="N94" s="172"/>
    </row>
    <row r="95" spans="1:14" ht="60">
      <c r="A95" s="131"/>
      <c r="B95" s="37" t="s">
        <v>15</v>
      </c>
      <c r="C95" s="118" t="s">
        <v>409</v>
      </c>
      <c r="D95" s="118" t="s">
        <v>410</v>
      </c>
      <c r="E95" s="118"/>
      <c r="F95" s="118"/>
      <c r="G95" s="118" t="s">
        <v>411</v>
      </c>
      <c r="H95" s="120">
        <v>46089</v>
      </c>
      <c r="I95" s="121"/>
      <c r="J95" s="124"/>
      <c r="K95" s="31" t="s">
        <v>412</v>
      </c>
      <c r="L95" s="29" t="str" cm="1">
        <f t="array" ref="L95">IFERROR(_xlfn.TEXTJOIN(", ", TRUE, IF(ISNUMBER(SEARCH(D95, D:D)), ROW(D:D), "")), "Kein Treffer")</f>
        <v>95</v>
      </c>
      <c r="M95" s="172"/>
      <c r="N95" s="172"/>
    </row>
    <row r="96" spans="1:14" ht="28.5">
      <c r="A96" s="117"/>
      <c r="B96" s="37" t="s">
        <v>413</v>
      </c>
      <c r="C96" s="118" t="s">
        <v>414</v>
      </c>
      <c r="D96" s="118" t="s">
        <v>415</v>
      </c>
      <c r="E96" s="118"/>
      <c r="F96" s="118"/>
      <c r="G96" s="118" t="s">
        <v>416</v>
      </c>
      <c r="H96" s="120">
        <v>46079</v>
      </c>
      <c r="I96" s="121" t="s">
        <v>417</v>
      </c>
      <c r="J96" s="124"/>
      <c r="K96" s="31" t="s">
        <v>418</v>
      </c>
      <c r="L96" s="29" t="str" cm="1">
        <f t="array" ref="L96">IFERROR(_xlfn.TEXTJOIN(", ", TRUE, IF(ISNUMBER(SEARCH(D96, D:D)), ROW(D:D), "")), "Kein Treffer")</f>
        <v>96</v>
      </c>
      <c r="M96" s="172"/>
      <c r="N96" s="172"/>
    </row>
    <row r="97" spans="1:14" ht="45">
      <c r="A97" s="131"/>
      <c r="B97" s="37" t="s">
        <v>15</v>
      </c>
      <c r="C97" s="118" t="s">
        <v>419</v>
      </c>
      <c r="D97" s="147" t="s">
        <v>420</v>
      </c>
      <c r="E97" s="147"/>
      <c r="F97" s="147"/>
      <c r="G97" s="118" t="s">
        <v>421</v>
      </c>
      <c r="H97" s="120">
        <v>46082</v>
      </c>
      <c r="I97" s="146" t="s">
        <v>422</v>
      </c>
      <c r="J97" s="124"/>
      <c r="K97" s="31" t="s">
        <v>423</v>
      </c>
      <c r="L97" s="29" t="str" cm="1">
        <f t="array" ref="L97">IFERROR(_xlfn.TEXTJOIN(", ", TRUE, IF(ISNUMBER(SEARCH(D97, D:D)), ROW(D:D), "")), "Kein Treffer")</f>
        <v>97</v>
      </c>
      <c r="M97" s="172"/>
      <c r="N97" s="172"/>
    </row>
    <row r="98" spans="1:14" ht="57">
      <c r="A98" s="117"/>
      <c r="B98" s="37"/>
      <c r="C98" s="118" t="s">
        <v>119</v>
      </c>
      <c r="D98" s="118" t="s">
        <v>424</v>
      </c>
      <c r="E98" s="118"/>
      <c r="F98" s="118"/>
      <c r="G98" s="118" t="s">
        <v>425</v>
      </c>
      <c r="H98" s="120">
        <v>46082</v>
      </c>
      <c r="I98" s="121"/>
      <c r="J98" s="124"/>
      <c r="K98" s="31" t="s">
        <v>426</v>
      </c>
      <c r="L98" s="29" t="str" cm="1">
        <f t="array" ref="L98">IFERROR(_xlfn.TEXTJOIN(", ", TRUE, IF(ISNUMBER(SEARCH(D98, D:D)), ROW(D:D), "")), "Kein Treffer")</f>
        <v>98</v>
      </c>
      <c r="M98" s="172"/>
      <c r="N98" s="172"/>
    </row>
    <row r="99" spans="1:14" ht="30">
      <c r="A99" s="131"/>
      <c r="B99" s="37" t="s">
        <v>15</v>
      </c>
      <c r="C99" s="118" t="s">
        <v>427</v>
      </c>
      <c r="D99" s="118" t="s">
        <v>428</v>
      </c>
      <c r="E99" s="118"/>
      <c r="F99" s="118"/>
      <c r="G99" s="118" t="s">
        <v>429</v>
      </c>
      <c r="H99" s="120">
        <v>46085</v>
      </c>
      <c r="I99" s="121"/>
      <c r="J99" s="124"/>
      <c r="K99" s="31" t="s">
        <v>430</v>
      </c>
      <c r="L99" s="4" t="str" cm="1">
        <f t="array" ref="L99">IFERROR(_xlfn.TEXTJOIN(", ", TRUE, IF(ISNUMBER(SEARCH(D99, D:D)), ROW(D:D), "")), "Kein Treffer")</f>
        <v>99</v>
      </c>
      <c r="M99" s="172"/>
      <c r="N99" s="172"/>
    </row>
    <row r="100" spans="1:14" ht="30">
      <c r="A100" s="117"/>
      <c r="B100" s="37"/>
      <c r="C100" s="118" t="s">
        <v>431</v>
      </c>
      <c r="D100" s="118" t="s">
        <v>432</v>
      </c>
      <c r="E100" s="118"/>
      <c r="F100" s="118"/>
      <c r="G100" s="118" t="s">
        <v>433</v>
      </c>
      <c r="H100" s="120">
        <v>46101</v>
      </c>
      <c r="I100" s="121"/>
      <c r="J100" s="124"/>
      <c r="K100" s="31" t="s">
        <v>434</v>
      </c>
      <c r="L100" s="4" t="str" cm="1">
        <f t="array" ref="L100">IFERROR(_xlfn.TEXTJOIN(", ", TRUE, IF(ISNUMBER(SEARCH(D100, D:D)), ROW(D:D), "")), "Kein Treffer")</f>
        <v>100</v>
      </c>
      <c r="M100" s="172"/>
      <c r="N100" s="172"/>
    </row>
    <row r="101" spans="1:14" ht="15">
      <c r="A101" s="117"/>
      <c r="B101" s="37" t="s">
        <v>32</v>
      </c>
      <c r="C101" s="118" t="s">
        <v>323</v>
      </c>
      <c r="D101" s="118" t="s">
        <v>435</v>
      </c>
      <c r="E101" s="118"/>
      <c r="F101" s="118"/>
      <c r="G101" s="118" t="s">
        <v>436</v>
      </c>
      <c r="H101" s="120">
        <v>46075</v>
      </c>
      <c r="I101" s="121"/>
      <c r="J101" s="124"/>
      <c r="K101" s="31" t="s">
        <v>437</v>
      </c>
      <c r="L101" s="4" t="str" cm="1">
        <f t="array" ref="L101">IFERROR(_xlfn.TEXTJOIN(", ", TRUE, IF(ISNUMBER(SEARCH(D101, D:D)), ROW(D:D), "")), "Kein Treffer")</f>
        <v>101</v>
      </c>
      <c r="M101" s="172"/>
      <c r="N101" s="172"/>
    </row>
    <row r="102" spans="1:14" ht="45">
      <c r="A102" s="116"/>
      <c r="B102" s="37" t="s">
        <v>413</v>
      </c>
      <c r="C102" s="118" t="s">
        <v>438</v>
      </c>
      <c r="D102" s="147" t="s">
        <v>439</v>
      </c>
      <c r="E102" s="147"/>
      <c r="F102" s="147"/>
      <c r="G102" s="118" t="s">
        <v>440</v>
      </c>
      <c r="H102" s="120">
        <v>46076</v>
      </c>
      <c r="I102" s="146" t="s">
        <v>441</v>
      </c>
      <c r="J102" s="124"/>
      <c r="K102" s="26" t="s">
        <v>442</v>
      </c>
      <c r="L102" s="4" t="str" cm="1">
        <f t="array" ref="L102">IFERROR(_xlfn.TEXTJOIN(", ", TRUE, IF(ISNUMBER(SEARCH(D102, D:D)), ROW(D:D), "")), "Kein Treffer")</f>
        <v>102</v>
      </c>
      <c r="M102" s="172"/>
      <c r="N102" s="172"/>
    </row>
    <row r="103" spans="1:14" ht="30">
      <c r="A103" s="116"/>
      <c r="B103" s="37" t="s">
        <v>96</v>
      </c>
      <c r="C103" s="118" t="s">
        <v>443</v>
      </c>
      <c r="D103" s="118" t="s">
        <v>444</v>
      </c>
      <c r="E103" s="118"/>
      <c r="F103" s="118"/>
      <c r="G103" s="118" t="s">
        <v>76</v>
      </c>
      <c r="H103" s="120">
        <v>46082</v>
      </c>
      <c r="I103" s="121"/>
      <c r="J103" s="124"/>
      <c r="K103" s="26" t="s">
        <v>445</v>
      </c>
      <c r="L103" s="4" t="str" cm="1">
        <f t="array" ref="L103">IFERROR(_xlfn.TEXTJOIN(", ", TRUE, IF(ISNUMBER(SEARCH(D103, D:D)), ROW(D:D), "")), "Kein Treffer")</f>
        <v>103</v>
      </c>
      <c r="M103" s="172"/>
      <c r="N103" s="172"/>
    </row>
    <row r="104" spans="1:14" ht="45">
      <c r="A104" s="58" t="s">
        <v>95</v>
      </c>
      <c r="B104" s="37" t="s">
        <v>126</v>
      </c>
      <c r="C104" s="118" t="s">
        <v>446</v>
      </c>
      <c r="D104" s="118" t="s">
        <v>447</v>
      </c>
      <c r="E104" s="118"/>
      <c r="F104" s="118"/>
      <c r="G104" s="118" t="s">
        <v>448</v>
      </c>
      <c r="H104" s="134">
        <v>46083</v>
      </c>
      <c r="I104" s="135" t="s">
        <v>449</v>
      </c>
      <c r="J104" s="136"/>
      <c r="K104" s="68" t="s">
        <v>450</v>
      </c>
      <c r="L104" s="4" t="str" cm="1">
        <f t="array" ref="L104">IFERROR(_xlfn.TEXTJOIN(", ", TRUE, IF(ISNUMBER(SEARCH(D104, D:D)), ROW(D:D), "")), "Kein Treffer")</f>
        <v>104</v>
      </c>
      <c r="M104" s="175"/>
      <c r="N104" s="175"/>
    </row>
    <row r="105" spans="1:14" ht="35.25" customHeight="1">
      <c r="A105" s="116"/>
      <c r="B105" s="66" t="s">
        <v>96</v>
      </c>
      <c r="C105" s="118" t="s">
        <v>451</v>
      </c>
      <c r="D105" s="118" t="s">
        <v>452</v>
      </c>
      <c r="E105" s="118"/>
      <c r="F105" s="118"/>
      <c r="G105" s="118" t="s">
        <v>453</v>
      </c>
      <c r="H105" s="139">
        <v>46084</v>
      </c>
      <c r="I105" s="148"/>
      <c r="J105" s="140"/>
      <c r="K105" s="64" t="s">
        <v>454</v>
      </c>
      <c r="L105" s="67" t="str" cm="1">
        <f t="array" ref="L105">IFERROR(_xlfn.TEXTJOIN(", ", TRUE, IF(ISNUMBER(SEARCH(D105, D:D)), ROW(D:D), "")), "Kein Treffer")</f>
        <v>105</v>
      </c>
      <c r="M105" s="176"/>
      <c r="N105" s="176"/>
    </row>
    <row r="106" spans="1:14" ht="45">
      <c r="A106" s="117"/>
      <c r="B106" s="66"/>
      <c r="C106" s="118" t="s">
        <v>455</v>
      </c>
      <c r="D106" s="118" t="s">
        <v>456</v>
      </c>
      <c r="E106" s="118"/>
      <c r="F106" s="118"/>
      <c r="G106" s="118" t="s">
        <v>457</v>
      </c>
      <c r="H106" s="139">
        <v>46096</v>
      </c>
      <c r="I106" s="148" t="s">
        <v>458</v>
      </c>
      <c r="J106" s="140"/>
      <c r="K106" s="65" t="s">
        <v>459</v>
      </c>
      <c r="L106" s="67" t="str" cm="1">
        <f t="array" ref="L106">IFERROR(_xlfn.TEXTJOIN(", ", TRUE, IF(ISNUMBER(SEARCH(D106, D:D)), ROW(D:D), "")), "Kein Treffer")</f>
        <v>106</v>
      </c>
      <c r="M106" s="176"/>
      <c r="N106" s="176"/>
    </row>
    <row r="107" spans="1:14" ht="15.4">
      <c r="A107" s="117"/>
      <c r="B107" s="110"/>
      <c r="C107" s="40" t="s">
        <v>460</v>
      </c>
      <c r="D107" s="126"/>
      <c r="E107" s="126"/>
      <c r="F107" s="126"/>
      <c r="G107" s="126"/>
      <c r="H107" s="113"/>
      <c r="I107" s="127"/>
      <c r="J107" s="114"/>
      <c r="K107" s="111"/>
      <c r="L107" s="115"/>
      <c r="M107" s="173"/>
      <c r="N107" s="173"/>
    </row>
    <row r="108" spans="1:14" ht="15">
      <c r="A108" s="117"/>
      <c r="B108" s="37"/>
      <c r="C108" s="118"/>
      <c r="D108" s="118"/>
      <c r="E108" s="118"/>
      <c r="F108" s="118"/>
      <c r="G108" s="118"/>
      <c r="H108" s="142"/>
      <c r="I108" s="149"/>
      <c r="J108" s="143"/>
      <c r="K108" s="69"/>
      <c r="L108" s="60" t="str" cm="1">
        <f t="array" ref="L108">IFERROR(_xlfn.TEXTJOIN(", ", TRUE, IF(ISNUMBER(SEARCH(D108, D:D)), ROW(D:D), "")), "Kein Treffer")</f>
        <v>1, 3, 4, 5, 6, 7, 8, 9, 10, 11, 12, 13, 14, 15, 16, 17, 18, 19, 20, 21, 22, 23, 25, 26, 27, 28, 29, 30, 31, 32, 33, 34, 35, 36, 37, 38, 40, 41, 42, 43, 44, 45, 46, 47, 48, 49, 50, 51, 52, 53, 54, 55, 56, 57, 58, 59, 60, 61, 63, 64, 65, 66, 67, 68, 69, 70, 71, 72, 73, 74, 75, 76, 77, 78, 79, 80, 81, 82, 83, 84, 85, 86, 87, 89, 90, 91, 92, 93, 94, 95, 96, 97, 98, 99, 100, 101, 102, 103, 104, 105, 106, 112, 113, 114, 115, 116, 117, 118, 119, 120, 121, 122, 123, 124, 125, 126, 127, 128, 129, 130, 131, 132, 133, 134, 135, 136, 137, 138, 139, 140, 141, 142, 143, 144, 145, 146, 147, 148, 149</v>
      </c>
      <c r="M108" s="177"/>
      <c r="N108" s="177"/>
    </row>
    <row r="109" spans="1:14" ht="15.4">
      <c r="A109" s="117"/>
      <c r="B109" s="110"/>
      <c r="C109" s="40" t="s">
        <v>461</v>
      </c>
      <c r="D109" s="126"/>
      <c r="E109" s="126"/>
      <c r="F109" s="126"/>
      <c r="G109" s="126"/>
      <c r="H109" s="113"/>
      <c r="I109" s="127"/>
      <c r="J109" s="114"/>
      <c r="K109" s="111"/>
      <c r="L109" s="115"/>
      <c r="M109" s="173"/>
      <c r="N109" s="173"/>
    </row>
    <row r="110" spans="1:14" ht="15">
      <c r="A110" s="117"/>
      <c r="B110" s="37"/>
      <c r="C110" s="118"/>
      <c r="D110" s="118"/>
      <c r="E110" s="118"/>
      <c r="F110" s="118"/>
      <c r="G110" s="118"/>
      <c r="H110" s="120"/>
      <c r="I110" s="121"/>
      <c r="J110" s="124"/>
      <c r="L110" s="60" t="str" cm="1">
        <f t="array" ref="L110">IFERROR(_xlfn.TEXTJOIN(", ", TRUE, IF(ISNUMBER(SEARCH(D110, D:D)), ROW(D:D), "")), "Kein Treffer")</f>
        <v>1, 3, 4, 5, 6, 7, 8, 9, 10, 11, 12, 13, 14, 15, 16, 17, 18, 19, 20, 21, 22, 23, 25, 26, 27, 28, 29, 30, 31, 32, 33, 34, 35, 36, 37, 38, 40, 41, 42, 43, 44, 45, 46, 47, 48, 49, 50, 51, 52, 53, 54, 55, 56, 57, 58, 59, 60, 61, 63, 64, 65, 66, 67, 68, 69, 70, 71, 72, 73, 74, 75, 76, 77, 78, 79, 80, 81, 82, 83, 84, 85, 86, 87, 89, 90, 91, 92, 93, 94, 95, 96, 97, 98, 99, 100, 101, 102, 103, 104, 105, 106, 112, 113, 114, 115, 116, 117, 118, 119, 120, 121, 122, 123, 124, 125, 126, 127, 128, 129, 130, 131, 132, 133, 134, 135, 136, 137, 138, 139, 140, 141, 142, 143, 144, 145, 146, 147, 148, 149</v>
      </c>
      <c r="M110" s="172"/>
      <c r="N110" s="172"/>
    </row>
    <row r="111" spans="1:14" ht="15.4">
      <c r="A111" s="117"/>
      <c r="B111" s="110"/>
      <c r="C111" s="153" t="s">
        <v>462</v>
      </c>
      <c r="D111" s="126"/>
      <c r="E111" s="126"/>
      <c r="F111" s="126"/>
      <c r="G111" s="126"/>
      <c r="H111" s="113"/>
      <c r="I111" s="127"/>
      <c r="J111" s="114"/>
      <c r="K111" s="111"/>
      <c r="L111" s="115"/>
      <c r="M111" s="173"/>
      <c r="N111" s="173"/>
    </row>
    <row r="112" spans="1:14" ht="28.5">
      <c r="A112" s="117"/>
      <c r="B112" s="66" t="s">
        <v>463</v>
      </c>
      <c r="C112" s="118" t="s">
        <v>464</v>
      </c>
      <c r="D112" s="152" t="s">
        <v>465</v>
      </c>
      <c r="E112" s="152"/>
      <c r="F112" s="152"/>
      <c r="G112" s="118" t="s">
        <v>466</v>
      </c>
      <c r="H112" s="120">
        <v>46096</v>
      </c>
      <c r="I112" s="121"/>
      <c r="J112" s="124"/>
      <c r="K112" s="26" t="s">
        <v>467</v>
      </c>
      <c r="L112" s="60" t="str" cm="1">
        <f t="array" ref="L112">IFERROR(_xlfn.TEXTJOIN(", ", TRUE, IF(ISNUMBER(SEARCH(D112, D:D)), ROW(D:D), "")), "Kein Treffer")</f>
        <v>112</v>
      </c>
      <c r="M112" s="172"/>
      <c r="N112" s="172"/>
    </row>
    <row r="113" spans="1:14" ht="30">
      <c r="A113" s="131"/>
      <c r="B113" s="154" t="s">
        <v>32</v>
      </c>
      <c r="C113" s="118" t="s">
        <v>468</v>
      </c>
      <c r="D113" s="152" t="s">
        <v>469</v>
      </c>
      <c r="E113" s="152"/>
      <c r="F113" s="152"/>
      <c r="G113" s="118" t="s">
        <v>470</v>
      </c>
      <c r="H113" s="120" t="s">
        <v>471</v>
      </c>
      <c r="I113" s="121" t="s">
        <v>472</v>
      </c>
      <c r="J113" s="124"/>
      <c r="K113" s="26" t="s">
        <v>473</v>
      </c>
      <c r="L113" s="60" t="str" cm="1">
        <f t="array" ref="L113">IFERROR(_xlfn.TEXTJOIN(", ", TRUE, IF(ISNUMBER(SEARCH(D113, D:D)), ROW(D:D), "")), "Kein Treffer")</f>
        <v>113</v>
      </c>
      <c r="M113" s="172"/>
      <c r="N113" s="172"/>
    </row>
    <row r="114" spans="1:14" ht="42.75">
      <c r="A114" s="117"/>
      <c r="B114" s="66" t="s">
        <v>463</v>
      </c>
      <c r="C114" s="118" t="s">
        <v>474</v>
      </c>
      <c r="D114" s="152" t="s">
        <v>475</v>
      </c>
      <c r="E114" s="152"/>
      <c r="F114" s="152"/>
      <c r="G114" s="118" t="s">
        <v>76</v>
      </c>
      <c r="H114" s="120">
        <v>46089</v>
      </c>
      <c r="I114" s="121"/>
      <c r="J114" s="124"/>
      <c r="K114" s="26" t="s">
        <v>476</v>
      </c>
      <c r="L114" s="60" t="str" cm="1">
        <f t="array" ref="L114">IFERROR(_xlfn.TEXTJOIN(", ", TRUE, IF(ISNUMBER(SEARCH(D114, D:D)), ROW(D:D), "")), "Kein Treffer")</f>
        <v>114, 138</v>
      </c>
      <c r="M114" s="172"/>
      <c r="N114" s="172"/>
    </row>
    <row r="115" spans="1:14" ht="28.5">
      <c r="A115" s="117"/>
      <c r="B115" s="66"/>
      <c r="C115" s="118" t="s">
        <v>477</v>
      </c>
      <c r="D115" s="152" t="s">
        <v>478</v>
      </c>
      <c r="E115" s="152"/>
      <c r="F115" s="152"/>
      <c r="G115" s="118" t="s">
        <v>479</v>
      </c>
      <c r="H115" s="120">
        <v>46096</v>
      </c>
      <c r="I115" s="121"/>
      <c r="J115" s="124"/>
      <c r="K115" s="26" t="s">
        <v>480</v>
      </c>
      <c r="L115" s="60" t="str" cm="1">
        <f t="array" ref="L115">IFERROR(_xlfn.TEXTJOIN(", ", TRUE, IF(ISNUMBER(SEARCH(D115, D:D)), ROW(D:D), "")), "Kein Treffer")</f>
        <v>115</v>
      </c>
      <c r="M115" s="172"/>
      <c r="N115" s="172"/>
    </row>
    <row r="116" spans="1:14" ht="42.75">
      <c r="A116" s="116"/>
      <c r="B116" s="165" t="s">
        <v>96</v>
      </c>
      <c r="C116" s="118" t="s">
        <v>481</v>
      </c>
      <c r="D116" s="152" t="s">
        <v>482</v>
      </c>
      <c r="E116" s="152"/>
      <c r="F116" s="152"/>
      <c r="G116" s="118" t="s">
        <v>483</v>
      </c>
      <c r="H116" s="120">
        <v>46110</v>
      </c>
      <c r="I116" s="119" t="s">
        <v>484</v>
      </c>
      <c r="J116" s="124"/>
      <c r="K116" s="26" t="s">
        <v>485</v>
      </c>
      <c r="L116" s="60" t="str" cm="1">
        <f t="array" ref="L116">IFERROR(_xlfn.TEXTJOIN(", ", TRUE, IF(ISNUMBER(SEARCH(D116, D:D)), ROW(D:D), "")), "Kein Treffer")</f>
        <v>116</v>
      </c>
      <c r="M116" s="172"/>
      <c r="N116" s="172"/>
    </row>
    <row r="117" spans="1:14" ht="28.5">
      <c r="A117" s="116"/>
      <c r="B117" s="165" t="s">
        <v>96</v>
      </c>
      <c r="C117" s="118" t="s">
        <v>486</v>
      </c>
      <c r="D117" s="152" t="s">
        <v>487</v>
      </c>
      <c r="E117" s="152"/>
      <c r="F117" s="152"/>
      <c r="G117" s="118" t="s">
        <v>488</v>
      </c>
      <c r="H117" s="120">
        <v>46099</v>
      </c>
      <c r="I117" s="119" t="s">
        <v>484</v>
      </c>
      <c r="J117" s="124"/>
      <c r="K117" s="26" t="s">
        <v>489</v>
      </c>
      <c r="L117" s="60" t="str" cm="1">
        <f t="array" ref="L117">IFERROR(_xlfn.TEXTJOIN(", ", TRUE, IF(ISNUMBER(SEARCH(D117, D:D)), ROW(D:D), "")), "Kein Treffer")</f>
        <v>117, 131</v>
      </c>
      <c r="M117" s="172"/>
      <c r="N117" s="172"/>
    </row>
    <row r="118" spans="1:14" ht="42.75">
      <c r="A118" s="131"/>
      <c r="B118" s="66" t="s">
        <v>15</v>
      </c>
      <c r="C118" s="118" t="s">
        <v>490</v>
      </c>
      <c r="D118" s="152" t="s">
        <v>491</v>
      </c>
      <c r="E118" s="152"/>
      <c r="F118" s="152"/>
      <c r="G118" s="118" t="s">
        <v>492</v>
      </c>
      <c r="H118" s="120">
        <v>46099</v>
      </c>
      <c r="I118" s="121"/>
      <c r="J118" s="124"/>
      <c r="K118" s="26" t="s">
        <v>493</v>
      </c>
      <c r="L118" s="60" t="str" cm="1">
        <f t="array" ref="L118">IFERROR(_xlfn.TEXTJOIN(", ", TRUE, IF(ISNUMBER(SEARCH(D118, D:D)), ROW(D:D), "")), "Kein Treffer")</f>
        <v>118</v>
      </c>
      <c r="M118" s="172"/>
      <c r="N118" s="172"/>
    </row>
    <row r="119" spans="1:14" ht="30">
      <c r="A119" s="117"/>
      <c r="B119" s="66"/>
      <c r="C119" s="118" t="s">
        <v>494</v>
      </c>
      <c r="D119" s="152" t="s">
        <v>495</v>
      </c>
      <c r="E119" s="152"/>
      <c r="F119" s="152"/>
      <c r="G119" s="118" t="s">
        <v>496</v>
      </c>
      <c r="H119" s="120">
        <v>46103</v>
      </c>
      <c r="I119" s="121"/>
      <c r="J119" s="124"/>
      <c r="K119" s="26" t="s">
        <v>497</v>
      </c>
      <c r="L119" s="60" t="str" cm="1">
        <f t="array" ref="L119">IFERROR(_xlfn.TEXTJOIN(", ", TRUE, IF(ISNUMBER(SEARCH(D119, D:D)), ROW(D:D), "")), "Kein Treffer")</f>
        <v>119</v>
      </c>
      <c r="M119" s="172"/>
      <c r="N119" s="172"/>
    </row>
    <row r="120" spans="1:14" ht="28.5">
      <c r="A120" s="116"/>
      <c r="B120" s="165" t="s">
        <v>32</v>
      </c>
      <c r="C120" s="118" t="s">
        <v>498</v>
      </c>
      <c r="D120" s="152" t="s">
        <v>499</v>
      </c>
      <c r="E120" s="152"/>
      <c r="F120" s="152"/>
      <c r="G120" s="118" t="s">
        <v>500</v>
      </c>
      <c r="H120" s="120">
        <v>46092</v>
      </c>
      <c r="I120" s="121"/>
      <c r="J120" s="124"/>
      <c r="K120" s="26" t="s">
        <v>501</v>
      </c>
      <c r="L120" s="60" t="str" cm="1">
        <f t="array" ref="L120">IFERROR(_xlfn.TEXTJOIN(", ", TRUE, IF(ISNUMBER(SEARCH(D120, D:D)), ROW(D:D), "")), "Kein Treffer")</f>
        <v>120</v>
      </c>
      <c r="M120" s="172"/>
      <c r="N120" s="172"/>
    </row>
    <row r="121" spans="1:14" ht="45">
      <c r="A121" s="117" t="s">
        <v>38</v>
      </c>
      <c r="B121" s="66"/>
      <c r="C121" s="118" t="s">
        <v>502</v>
      </c>
      <c r="D121" s="152" t="s">
        <v>503</v>
      </c>
      <c r="E121" s="152"/>
      <c r="F121" s="152"/>
      <c r="G121" s="118" t="s">
        <v>504</v>
      </c>
      <c r="H121" s="120"/>
      <c r="I121" s="121"/>
      <c r="J121" s="124"/>
      <c r="K121" s="26" t="s">
        <v>505</v>
      </c>
      <c r="L121" s="60" t="str" cm="1">
        <f t="array" ref="L121">IFERROR(_xlfn.TEXTJOIN(", ", TRUE, IF(ISNUMBER(SEARCH(D121, D:D)), ROW(D:D), "")), "Kein Treffer")</f>
        <v>121</v>
      </c>
      <c r="M121" s="172"/>
      <c r="N121" s="172"/>
    </row>
    <row r="122" spans="1:14" ht="28.5">
      <c r="A122" s="116" t="s">
        <v>95</v>
      </c>
      <c r="B122" s="66" t="s">
        <v>96</v>
      </c>
      <c r="C122" s="118" t="s">
        <v>506</v>
      </c>
      <c r="D122" s="152" t="s">
        <v>507</v>
      </c>
      <c r="E122" s="152"/>
      <c r="F122" s="152"/>
      <c r="G122" s="118" t="s">
        <v>76</v>
      </c>
      <c r="H122" s="120" t="s">
        <v>76</v>
      </c>
      <c r="I122" s="121"/>
      <c r="J122" s="124"/>
      <c r="K122" s="26" t="s">
        <v>508</v>
      </c>
      <c r="L122" s="60" t="str" cm="1">
        <f t="array" ref="L122">IFERROR(_xlfn.TEXTJOIN(", ", TRUE, IF(ISNUMBER(SEARCH(D122, D:D)), ROW(D:D), "")), "Kein Treffer")</f>
        <v>122</v>
      </c>
      <c r="M122" s="172"/>
      <c r="N122" s="172"/>
    </row>
    <row r="123" spans="1:14" ht="28.5">
      <c r="A123" s="131"/>
      <c r="B123" s="66" t="s">
        <v>15</v>
      </c>
      <c r="C123" s="118" t="s">
        <v>509</v>
      </c>
      <c r="D123" s="152" t="s">
        <v>510</v>
      </c>
      <c r="E123" s="152"/>
      <c r="F123" s="152"/>
      <c r="G123" s="118" t="s">
        <v>76</v>
      </c>
      <c r="H123" s="120">
        <v>46103</v>
      </c>
      <c r="I123" s="121"/>
      <c r="J123" s="124"/>
      <c r="K123" s="26" t="s">
        <v>511</v>
      </c>
      <c r="L123" s="60" t="str" cm="1">
        <f t="array" ref="L123">IFERROR(_xlfn.TEXTJOIN(", ", TRUE, IF(ISNUMBER(SEARCH(D123, D:D)), ROW(D:D), "")), "Kein Treffer")</f>
        <v>123</v>
      </c>
      <c r="M123" s="172"/>
      <c r="N123" s="172"/>
    </row>
    <row r="124" spans="1:14" ht="42.75">
      <c r="A124" s="117"/>
      <c r="B124" s="66"/>
      <c r="C124" s="118" t="s">
        <v>512</v>
      </c>
      <c r="D124" s="152" t="s">
        <v>513</v>
      </c>
      <c r="E124" s="152"/>
      <c r="F124" s="152"/>
      <c r="G124" s="118" t="s">
        <v>514</v>
      </c>
      <c r="H124" s="120">
        <v>46101</v>
      </c>
      <c r="I124" s="121"/>
      <c r="J124" s="124"/>
      <c r="K124" s="26" t="s">
        <v>515</v>
      </c>
      <c r="L124" s="60" t="str" cm="1">
        <f t="array" ref="L124">IFERROR(_xlfn.TEXTJOIN(", ", TRUE, IF(ISNUMBER(SEARCH(D124, D:D)), ROW(D:D), "")), "Kein Treffer")</f>
        <v>124</v>
      </c>
      <c r="M124" s="172"/>
      <c r="N124" s="172"/>
    </row>
    <row r="125" spans="1:14" ht="30" customHeight="1">
      <c r="A125" s="131"/>
      <c r="B125" s="66" t="s">
        <v>15</v>
      </c>
      <c r="C125" s="118" t="s">
        <v>516</v>
      </c>
      <c r="D125" s="152" t="s">
        <v>517</v>
      </c>
      <c r="E125" s="152"/>
      <c r="F125" s="152"/>
      <c r="G125" s="118" t="s">
        <v>76</v>
      </c>
      <c r="H125" s="120">
        <v>46096</v>
      </c>
      <c r="I125" s="121"/>
      <c r="J125" s="124"/>
      <c r="K125" s="26" t="s">
        <v>518</v>
      </c>
      <c r="L125" s="60" t="str" cm="1">
        <f t="array" ref="L125">IFERROR(_xlfn.TEXTJOIN(", ", TRUE, IF(ISNUMBER(SEARCH(D125, D:D)), ROW(D:D), "")), "Kein Treffer")</f>
        <v>125</v>
      </c>
      <c r="M125" s="172"/>
      <c r="N125" s="172"/>
    </row>
    <row r="126" spans="1:14" ht="42.75">
      <c r="A126" s="117"/>
      <c r="B126" s="66"/>
      <c r="C126" s="118" t="s">
        <v>519</v>
      </c>
      <c r="D126" s="152" t="s">
        <v>520</v>
      </c>
      <c r="E126" s="152"/>
      <c r="F126" s="152"/>
      <c r="G126" s="118" t="s">
        <v>76</v>
      </c>
      <c r="H126" s="120" t="s">
        <v>76</v>
      </c>
      <c r="I126" s="121"/>
      <c r="J126" s="124"/>
      <c r="K126" s="26" t="s">
        <v>521</v>
      </c>
      <c r="L126" s="60" t="str" cm="1">
        <f t="array" ref="L126">IFERROR(_xlfn.TEXTJOIN(", ", TRUE, IF(ISNUMBER(SEARCH(D126, D:D)), ROW(D:D), "")), "Kein Treffer")</f>
        <v>126</v>
      </c>
      <c r="M126" s="172"/>
      <c r="N126" s="172"/>
    </row>
    <row r="127" spans="1:14" ht="30">
      <c r="A127" s="117"/>
      <c r="B127" s="66"/>
      <c r="C127" s="118" t="s">
        <v>522</v>
      </c>
      <c r="D127" s="152" t="s">
        <v>523</v>
      </c>
      <c r="E127" s="152"/>
      <c r="F127" s="152"/>
      <c r="G127" s="118" t="s">
        <v>524</v>
      </c>
      <c r="H127" s="120">
        <v>46089</v>
      </c>
      <c r="I127" s="121"/>
      <c r="J127" s="124"/>
      <c r="K127" s="26" t="s">
        <v>525</v>
      </c>
      <c r="L127" s="60" t="str" cm="1">
        <f t="array" ref="L127">IFERROR(_xlfn.TEXTJOIN(", ", TRUE, IF(ISNUMBER(SEARCH(D127, D:D)), ROW(D:D), "")), "Kein Treffer")</f>
        <v>127</v>
      </c>
      <c r="M127" s="172"/>
      <c r="N127" s="172"/>
    </row>
    <row r="128" spans="1:14" ht="45">
      <c r="A128" s="116" t="s">
        <v>95</v>
      </c>
      <c r="B128" s="165" t="s">
        <v>96</v>
      </c>
      <c r="C128" s="118" t="s">
        <v>526</v>
      </c>
      <c r="D128" s="152" t="s">
        <v>527</v>
      </c>
      <c r="E128" s="152"/>
      <c r="F128" s="152"/>
      <c r="G128" s="118" t="s">
        <v>528</v>
      </c>
      <c r="H128" s="120">
        <v>46096</v>
      </c>
      <c r="I128" s="119" t="s">
        <v>484</v>
      </c>
      <c r="J128" s="124"/>
      <c r="K128" s="26" t="s">
        <v>529</v>
      </c>
      <c r="L128" s="60" t="str" cm="1">
        <f t="array" ref="L128">IFERROR(_xlfn.TEXTJOIN(", ", TRUE, IF(ISNUMBER(SEARCH(D128, D:D)), ROW(D:D), "")), "Kein Treffer")</f>
        <v>128</v>
      </c>
      <c r="M128" s="172"/>
      <c r="N128" s="172"/>
    </row>
    <row r="129" spans="1:14" ht="30">
      <c r="A129" s="116"/>
      <c r="B129" s="165" t="s">
        <v>96</v>
      </c>
      <c r="C129" s="118" t="s">
        <v>530</v>
      </c>
      <c r="D129" s="152" t="s">
        <v>531</v>
      </c>
      <c r="E129" s="152"/>
      <c r="F129" s="152"/>
      <c r="G129" s="118" t="s">
        <v>76</v>
      </c>
      <c r="H129" s="120">
        <v>46094</v>
      </c>
      <c r="I129" s="119" t="s">
        <v>484</v>
      </c>
      <c r="J129" s="124"/>
      <c r="K129" s="26" t="s">
        <v>532</v>
      </c>
      <c r="L129" s="60" t="str" cm="1">
        <f t="array" ref="L129">IFERROR(_xlfn.TEXTJOIN(", ", TRUE, IF(ISNUMBER(SEARCH(D129, D:D)), ROW(D:D), "")), "Kein Treffer")</f>
        <v>129</v>
      </c>
      <c r="M129" s="172"/>
      <c r="N129" s="172"/>
    </row>
    <row r="130" spans="1:14" ht="15">
      <c r="A130" s="117"/>
      <c r="B130" s="37" t="s">
        <v>126</v>
      </c>
      <c r="C130" s="141" t="s">
        <v>533</v>
      </c>
      <c r="D130" s="118" t="s">
        <v>534</v>
      </c>
      <c r="E130" s="118"/>
      <c r="F130" s="118"/>
      <c r="G130" s="118" t="s">
        <v>535</v>
      </c>
      <c r="H130" s="120">
        <v>46065</v>
      </c>
      <c r="I130" s="121"/>
      <c r="J130" s="124"/>
      <c r="K130" s="26" t="s">
        <v>536</v>
      </c>
      <c r="L130" s="60" t="str" cm="1">
        <f t="array" ref="L130">IFERROR(_xlfn.TEXTJOIN(", ", TRUE, IF(ISNUMBER(SEARCH(D130, D:D)), ROW(D:D), "")), "Kein Treffer")</f>
        <v>130</v>
      </c>
      <c r="M130" s="172"/>
      <c r="N130" s="172"/>
    </row>
    <row r="131" spans="1:14" ht="28.5">
      <c r="A131" s="131"/>
      <c r="B131" s="37" t="s">
        <v>15</v>
      </c>
      <c r="C131" s="118" t="s">
        <v>537</v>
      </c>
      <c r="D131" s="152" t="s">
        <v>487</v>
      </c>
      <c r="E131" s="152"/>
      <c r="F131" s="152"/>
      <c r="G131" s="118" t="s">
        <v>538</v>
      </c>
      <c r="H131" s="120">
        <v>46094</v>
      </c>
      <c r="I131" s="121"/>
      <c r="J131" s="124"/>
      <c r="K131" s="26" t="s">
        <v>539</v>
      </c>
      <c r="L131" s="60" t="str" cm="1">
        <f t="array" ref="L131">IFERROR(_xlfn.TEXTJOIN(", ", TRUE, IF(ISNUMBER(SEARCH(D131, D:D)), ROW(D:D), "")), "Kein Treffer")</f>
        <v>117, 131</v>
      </c>
      <c r="M131" s="172"/>
      <c r="N131" s="172"/>
    </row>
    <row r="132" spans="1:14" ht="15">
      <c r="A132" s="116"/>
      <c r="B132" s="58" t="s">
        <v>96</v>
      </c>
      <c r="C132" s="118" t="s">
        <v>540</v>
      </c>
      <c r="D132" s="118" t="s">
        <v>541</v>
      </c>
      <c r="E132" s="118"/>
      <c r="F132" s="118"/>
      <c r="G132" s="118" t="s">
        <v>542</v>
      </c>
      <c r="H132" s="120">
        <v>46112</v>
      </c>
      <c r="I132" s="121"/>
      <c r="J132" s="124"/>
      <c r="K132" s="26" t="s">
        <v>543</v>
      </c>
      <c r="L132" s="60" t="str" cm="1">
        <f t="array" ref="L132">IFERROR(_xlfn.TEXTJOIN(", ", TRUE, IF(ISNUMBER(SEARCH(D132, D:D)), ROW(D:D), "")), "Kein Treffer")</f>
        <v>132</v>
      </c>
      <c r="M132" s="172"/>
      <c r="N132" s="172"/>
    </row>
    <row r="133" spans="1:14" ht="45">
      <c r="A133" s="150"/>
      <c r="B133" s="37"/>
      <c r="C133" s="118" t="s">
        <v>544</v>
      </c>
      <c r="D133" s="118" t="s">
        <v>261</v>
      </c>
      <c r="E133" s="118"/>
      <c r="F133" s="118"/>
      <c r="G133" s="118" t="s">
        <v>545</v>
      </c>
      <c r="H133" s="120">
        <v>46096</v>
      </c>
      <c r="I133" s="121" t="s">
        <v>546</v>
      </c>
      <c r="J133" s="124"/>
      <c r="K133" s="26" t="s">
        <v>547</v>
      </c>
      <c r="L133" s="60" t="str" cm="1">
        <f t="array" ref="L133">IFERROR(_xlfn.TEXTJOIN(", ", TRUE, IF(ISNUMBER(SEARCH(D133, D:D)), ROW(D:D), "")), "Kein Treffer")</f>
        <v>58, 133</v>
      </c>
      <c r="M133" s="172"/>
      <c r="N133" s="172"/>
    </row>
    <row r="134" spans="1:14" ht="30">
      <c r="A134" s="116"/>
      <c r="B134" s="58" t="s">
        <v>96</v>
      </c>
      <c r="C134" s="118" t="s">
        <v>548</v>
      </c>
      <c r="D134" s="118" t="s">
        <v>549</v>
      </c>
      <c r="E134" s="118"/>
      <c r="F134" s="118"/>
      <c r="G134" s="118" t="s">
        <v>550</v>
      </c>
      <c r="H134" s="120">
        <v>46110</v>
      </c>
      <c r="I134" s="119" t="s">
        <v>484</v>
      </c>
      <c r="J134" s="124"/>
      <c r="K134" s="26" t="s">
        <v>551</v>
      </c>
      <c r="L134" s="60" t="str" cm="1">
        <f t="array" ref="L134">IFERROR(_xlfn.TEXTJOIN(", ", TRUE, IF(ISNUMBER(SEARCH(D134, D:D)), ROW(D:D), "")), "Kein Treffer")</f>
        <v>134</v>
      </c>
      <c r="M134" s="172"/>
      <c r="N134" s="172"/>
    </row>
    <row r="135" spans="1:14" ht="15">
      <c r="A135" s="117"/>
      <c r="B135" s="37"/>
      <c r="C135" s="118" t="s">
        <v>552</v>
      </c>
      <c r="D135" s="118" t="s">
        <v>553</v>
      </c>
      <c r="E135" s="118"/>
      <c r="F135" s="118"/>
      <c r="G135" s="118" t="s">
        <v>554</v>
      </c>
      <c r="H135" s="25">
        <v>46110</v>
      </c>
      <c r="I135" s="120"/>
      <c r="J135" s="124"/>
      <c r="K135" s="33" t="s">
        <v>555</v>
      </c>
      <c r="L135" s="60" t="str" cm="1">
        <f t="array" ref="L135">IFERROR(_xlfn.TEXTJOIN(", ", TRUE, IF(ISNUMBER(SEARCH(D135, D:D)), ROW(D:D), "")), "Kein Treffer")</f>
        <v>135</v>
      </c>
    </row>
    <row r="136" spans="1:14" ht="30">
      <c r="A136" s="117"/>
      <c r="B136" s="37"/>
      <c r="C136" s="118" t="s">
        <v>556</v>
      </c>
      <c r="D136" s="118" t="s">
        <v>557</v>
      </c>
      <c r="E136" s="118"/>
      <c r="F136" s="118"/>
      <c r="G136" s="118" t="s">
        <v>558</v>
      </c>
      <c r="H136" s="120">
        <v>46108</v>
      </c>
      <c r="I136" s="121"/>
      <c r="J136" s="124"/>
      <c r="K136" s="26" t="s">
        <v>559</v>
      </c>
      <c r="L136" s="60" t="str" cm="1">
        <f t="array" ref="L136">IFERROR(_xlfn.TEXTJOIN(", ", TRUE, IF(ISNUMBER(SEARCH(D136, D:D)), ROW(D:D), "")), "Kein Treffer")</f>
        <v>136</v>
      </c>
      <c r="M136" s="172"/>
      <c r="N136" s="172"/>
    </row>
    <row r="137" spans="1:14" ht="30">
      <c r="A137" s="117"/>
      <c r="B137" s="37"/>
      <c r="C137" s="118" t="s">
        <v>560</v>
      </c>
      <c r="D137" s="118" t="s">
        <v>561</v>
      </c>
      <c r="E137" s="118"/>
      <c r="F137" s="118"/>
      <c r="G137" s="118" t="s">
        <v>18</v>
      </c>
      <c r="H137" s="120">
        <v>46103</v>
      </c>
      <c r="I137" s="121"/>
      <c r="J137" s="124"/>
      <c r="K137" s="33" t="s">
        <v>562</v>
      </c>
      <c r="L137" s="60" t="str" cm="1">
        <f t="array" ref="L137">IFERROR(_xlfn.TEXTJOIN(", ", TRUE, IF(ISNUMBER(SEARCH(D137, D:D)), ROW(D:D), "")), "Kein Treffer")</f>
        <v>137</v>
      </c>
      <c r="M137" s="172"/>
      <c r="N137" s="172"/>
    </row>
    <row r="138" spans="1:14" ht="60">
      <c r="A138" s="117"/>
      <c r="B138" s="37" t="s">
        <v>463</v>
      </c>
      <c r="C138" s="118" t="s">
        <v>563</v>
      </c>
      <c r="D138" s="118" t="s">
        <v>475</v>
      </c>
      <c r="E138" s="118"/>
      <c r="F138" s="118"/>
      <c r="G138" s="118" t="s">
        <v>564</v>
      </c>
      <c r="H138" s="120">
        <v>46119</v>
      </c>
      <c r="I138" s="121"/>
      <c r="J138" s="124"/>
      <c r="K138" s="26" t="s">
        <v>565</v>
      </c>
      <c r="L138" s="60" t="str" cm="1">
        <f t="array" ref="L138">IFERROR(_xlfn.TEXTJOIN(", ", TRUE, IF(ISNUMBER(SEARCH(D138, D:D)), ROW(D:D), "")), "Kein Treffer")</f>
        <v>114, 138</v>
      </c>
      <c r="M138" s="172"/>
      <c r="N138" s="172"/>
    </row>
    <row r="139" spans="1:14" ht="75">
      <c r="A139" s="117"/>
      <c r="B139" s="157" t="s">
        <v>566</v>
      </c>
      <c r="C139" s="118" t="s">
        <v>567</v>
      </c>
      <c r="D139" s="118" t="s">
        <v>568</v>
      </c>
      <c r="E139" s="118"/>
      <c r="F139" s="118"/>
      <c r="G139" s="118" t="s">
        <v>569</v>
      </c>
      <c r="H139" s="120">
        <v>46103</v>
      </c>
      <c r="I139" s="121"/>
      <c r="J139" s="124"/>
      <c r="K139" s="26" t="s">
        <v>570</v>
      </c>
      <c r="L139" s="60" t="str" cm="1">
        <f t="array" ref="L139">IFERROR(_xlfn.TEXTJOIN(", ", TRUE, IF(ISNUMBER(SEARCH(D139, D:D)), ROW(D:D), "")), "Kein Treffer")</f>
        <v>139</v>
      </c>
      <c r="M139" s="172"/>
      <c r="N139" s="172"/>
    </row>
    <row r="140" spans="1:14" ht="28.5">
      <c r="A140" s="117" t="s">
        <v>38</v>
      </c>
      <c r="B140" s="37"/>
      <c r="C140" s="118" t="s">
        <v>571</v>
      </c>
      <c r="D140" s="118" t="s">
        <v>572</v>
      </c>
      <c r="E140" s="118"/>
      <c r="F140" s="118"/>
      <c r="G140" s="155" t="s">
        <v>573</v>
      </c>
      <c r="H140" s="120">
        <v>46111</v>
      </c>
      <c r="I140" s="121"/>
      <c r="J140" s="124"/>
      <c r="K140" s="26" t="s">
        <v>574</v>
      </c>
      <c r="L140" s="60" t="str" cm="1">
        <f t="array" ref="L140">IFERROR(_xlfn.TEXTJOIN(", ", TRUE, IF(ISNUMBER(SEARCH(D140, D:D)), ROW(D:D), "")), "Kein Treffer")</f>
        <v>140</v>
      </c>
      <c r="M140" s="172"/>
      <c r="N140" s="172"/>
    </row>
    <row r="141" spans="1:14" ht="60">
      <c r="A141" s="131"/>
      <c r="B141" s="157" t="s">
        <v>32</v>
      </c>
      <c r="C141" s="118" t="s">
        <v>575</v>
      </c>
      <c r="D141" s="118" t="s">
        <v>576</v>
      </c>
      <c r="E141" s="118"/>
      <c r="F141" s="118"/>
      <c r="G141" s="118" t="s">
        <v>577</v>
      </c>
      <c r="H141" s="120">
        <v>46112</v>
      </c>
      <c r="I141" s="121" t="s">
        <v>578</v>
      </c>
      <c r="J141" s="124"/>
      <c r="K141" s="26" t="s">
        <v>579</v>
      </c>
      <c r="L141" s="60" t="str" cm="1">
        <f t="array" ref="L141">IFERROR(_xlfn.TEXTJOIN(", ", TRUE, IF(ISNUMBER(SEARCH(D141, D:D)), ROW(D:D), "")), "Kein Treffer")</f>
        <v>141</v>
      </c>
      <c r="M141" s="172"/>
      <c r="N141" s="172"/>
    </row>
    <row r="142" spans="1:14" ht="60">
      <c r="A142" s="116"/>
      <c r="B142" s="58" t="s">
        <v>32</v>
      </c>
      <c r="C142" s="118" t="s">
        <v>580</v>
      </c>
      <c r="D142" s="118" t="s">
        <v>581</v>
      </c>
      <c r="E142" s="118"/>
      <c r="F142" s="118"/>
      <c r="G142" s="118" t="s">
        <v>582</v>
      </c>
      <c r="H142" s="120" t="s">
        <v>583</v>
      </c>
      <c r="I142" s="121">
        <v>46090</v>
      </c>
      <c r="J142" s="124"/>
      <c r="K142" s="26" t="s">
        <v>584</v>
      </c>
      <c r="L142" s="60" t="str" cm="1">
        <f t="array" ref="L142">IFERROR(_xlfn.TEXTJOIN(", ", TRUE, IF(ISNUMBER(SEARCH(D142, D:D)), ROW(D:D), "")), "Kein Treffer")</f>
        <v>142, 143</v>
      </c>
      <c r="M142" s="172"/>
      <c r="N142" s="172"/>
    </row>
    <row r="143" spans="1:14" ht="60">
      <c r="A143" s="116"/>
      <c r="B143" s="58" t="s">
        <v>32</v>
      </c>
      <c r="C143" s="118" t="s">
        <v>585</v>
      </c>
      <c r="D143" s="118" t="s">
        <v>581</v>
      </c>
      <c r="E143" s="118"/>
      <c r="F143" s="118"/>
      <c r="G143" s="118" t="s">
        <v>582</v>
      </c>
      <c r="H143" s="120">
        <v>46142</v>
      </c>
      <c r="I143" s="121"/>
      <c r="J143" s="124"/>
      <c r="K143" s="26" t="s">
        <v>586</v>
      </c>
      <c r="L143" s="60" t="str" cm="1">
        <f t="array" ref="L143">IFERROR(_xlfn.TEXTJOIN(", ", TRUE, IF(ISNUMBER(SEARCH(D143, D:D)), ROW(D:D), "")), "Kein Treffer")</f>
        <v>142, 143</v>
      </c>
      <c r="M143" s="172"/>
      <c r="N143" s="172"/>
    </row>
    <row r="144" spans="1:14" ht="72" customHeight="1">
      <c r="A144" s="131"/>
      <c r="B144" s="157" t="s">
        <v>32</v>
      </c>
      <c r="C144" s="118" t="s">
        <v>587</v>
      </c>
      <c r="D144" s="118" t="s">
        <v>588</v>
      </c>
      <c r="E144" s="118"/>
      <c r="F144" s="118"/>
      <c r="G144" s="118" t="s">
        <v>589</v>
      </c>
      <c r="H144" s="120">
        <v>46103</v>
      </c>
      <c r="I144" s="121"/>
      <c r="J144" s="124"/>
      <c r="K144" s="26" t="s">
        <v>590</v>
      </c>
      <c r="L144" s="60" t="str" cm="1">
        <f t="array" ref="L144">IFERROR(_xlfn.TEXTJOIN(", ", TRUE, IF(ISNUMBER(SEARCH(D144, D:D)), ROW(D:D), "")), "Kein Treffer")</f>
        <v>144</v>
      </c>
      <c r="M144" s="172"/>
      <c r="N144" s="172"/>
    </row>
    <row r="145" spans="1:14" ht="75">
      <c r="A145" s="131"/>
      <c r="B145" s="157" t="s">
        <v>32</v>
      </c>
      <c r="C145" s="118" t="s">
        <v>591</v>
      </c>
      <c r="D145" s="118" t="s">
        <v>592</v>
      </c>
      <c r="E145" s="118"/>
      <c r="F145" s="118"/>
      <c r="G145" s="118" t="s">
        <v>593</v>
      </c>
      <c r="H145" s="120">
        <v>46099</v>
      </c>
      <c r="I145" s="121"/>
      <c r="J145" s="124"/>
      <c r="K145" s="26" t="s">
        <v>590</v>
      </c>
      <c r="L145" s="60" t="str" cm="1">
        <f t="array" ref="L145">IFERROR(_xlfn.TEXTJOIN(", ", TRUE, IF(ISNUMBER(SEARCH(D145, D:D)), ROW(D:D), "")), "Kein Treffer")</f>
        <v>145</v>
      </c>
      <c r="M145" s="172"/>
      <c r="N145" s="172"/>
    </row>
    <row r="146" spans="1:14" ht="60">
      <c r="A146" s="117"/>
      <c r="B146" s="37"/>
      <c r="C146" s="118" t="s">
        <v>594</v>
      </c>
      <c r="D146" s="118" t="s">
        <v>17</v>
      </c>
      <c r="E146" s="118"/>
      <c r="F146" s="118"/>
      <c r="G146" s="118" t="s">
        <v>595</v>
      </c>
      <c r="H146" s="120">
        <v>46112</v>
      </c>
      <c r="I146" s="121"/>
      <c r="J146" s="124"/>
      <c r="K146" s="26" t="s">
        <v>596</v>
      </c>
      <c r="L146" s="60" t="str" cm="1">
        <f t="array" ref="L146">IFERROR(_xlfn.TEXTJOIN(", ", TRUE, IF(ISNUMBER(SEARCH(D146, D:D)), ROW(D:D), "")), "Kein Treffer")</f>
        <v>3, 146</v>
      </c>
      <c r="M146" s="172"/>
      <c r="N146" s="172"/>
    </row>
    <row r="147" spans="1:14" ht="42.75">
      <c r="A147" s="117"/>
      <c r="B147" s="37" t="s">
        <v>126</v>
      </c>
      <c r="C147" s="118" t="s">
        <v>597</v>
      </c>
      <c r="D147" s="118" t="s">
        <v>598</v>
      </c>
      <c r="E147" s="118"/>
      <c r="F147" s="118"/>
      <c r="G147" s="118" t="s">
        <v>599</v>
      </c>
      <c r="H147" s="120">
        <v>46112</v>
      </c>
      <c r="I147" s="121"/>
      <c r="J147" s="124"/>
      <c r="K147" s="26" t="s">
        <v>600</v>
      </c>
      <c r="L147" s="60" t="str" cm="1">
        <f t="array" ref="L147">IFERROR(_xlfn.TEXTJOIN(", ", TRUE, IF(ISNUMBER(SEARCH(D147, D:D)), ROW(D:D), "")), "Kein Treffer")</f>
        <v>147</v>
      </c>
      <c r="M147" s="172"/>
      <c r="N147" s="172"/>
    </row>
    <row r="148" spans="1:14" ht="45">
      <c r="A148" s="132"/>
      <c r="B148" s="167"/>
      <c r="C148" s="168" t="s">
        <v>601</v>
      </c>
      <c r="D148" s="166" t="s">
        <v>602</v>
      </c>
      <c r="E148" s="166" t="s">
        <v>603</v>
      </c>
      <c r="F148" s="166" t="s">
        <v>604</v>
      </c>
      <c r="G148" s="133"/>
      <c r="H148" s="134" t="s">
        <v>605</v>
      </c>
      <c r="I148" s="135" t="s">
        <v>606</v>
      </c>
      <c r="J148" s="136"/>
      <c r="K148" s="169" t="s">
        <v>607</v>
      </c>
      <c r="L148" s="170" t="str" cm="1">
        <f t="array" ref="L148">IFERROR(_xlfn.TEXTJOIN(", ", TRUE, IF(ISNUMBER(SEARCH(D148, D:D)), ROW(D:D), "")), "Kein Treffer")</f>
        <v>148</v>
      </c>
      <c r="M148" s="175">
        <v>70</v>
      </c>
      <c r="N148" s="175" t="b">
        <v>1</v>
      </c>
    </row>
    <row r="149" spans="1:14" ht="45">
      <c r="A149" s="132"/>
      <c r="B149" s="167"/>
      <c r="C149" s="168" t="s">
        <v>608</v>
      </c>
      <c r="D149" s="166" t="s">
        <v>609</v>
      </c>
      <c r="E149" s="166" t="s">
        <v>610</v>
      </c>
      <c r="F149" s="166" t="s">
        <v>604</v>
      </c>
      <c r="G149" s="133"/>
      <c r="H149" s="134" t="s">
        <v>611</v>
      </c>
      <c r="I149" s="135" t="s">
        <v>606</v>
      </c>
      <c r="J149" s="136"/>
      <c r="K149" s="169" t="s">
        <v>612</v>
      </c>
      <c r="L149" s="170" t="str" cm="1">
        <f t="array" ref="L149">IFERROR(_xlfn.TEXTJOIN(", ", TRUE, IF(ISNUMBER(SEARCH(D149, D:D)), ROW(D:D), "")), "Kein Treffer")</f>
        <v>149</v>
      </c>
      <c r="M149" s="175">
        <v>80</v>
      </c>
      <c r="N149" s="175" t="b">
        <v>1</v>
      </c>
    </row>
    <row r="150" spans="1:14" ht="15">
      <c r="A150" s="117"/>
      <c r="B150" s="37"/>
      <c r="C150" s="118"/>
      <c r="D150" s="118"/>
      <c r="E150" s="118"/>
      <c r="F150" s="118"/>
      <c r="G150" s="118"/>
      <c r="H150" s="120"/>
      <c r="I150" s="121"/>
      <c r="J150" s="124"/>
      <c r="M150" s="172"/>
      <c r="N150" s="172"/>
    </row>
    <row r="151" spans="1:14" ht="15">
      <c r="A151" s="117"/>
      <c r="B151" s="37"/>
      <c r="C151" s="118"/>
      <c r="D151" s="118"/>
      <c r="E151" s="118"/>
      <c r="F151" s="118"/>
      <c r="G151" s="118"/>
      <c r="H151" s="120"/>
      <c r="I151" s="121"/>
      <c r="J151" s="124"/>
      <c r="M151" s="172"/>
      <c r="N151" s="172"/>
    </row>
    <row r="152" spans="1:14" ht="15">
      <c r="A152" s="117"/>
      <c r="B152" s="37"/>
      <c r="C152" s="118"/>
      <c r="D152" s="118"/>
      <c r="E152" s="118"/>
      <c r="F152" s="118"/>
      <c r="G152" s="118"/>
      <c r="H152" s="120"/>
      <c r="I152" s="121"/>
      <c r="J152" s="124"/>
      <c r="M152" s="172"/>
      <c r="N152" s="172"/>
    </row>
    <row r="153" spans="1:14" ht="15">
      <c r="A153" s="117"/>
      <c r="B153" s="37"/>
      <c r="C153" s="118"/>
      <c r="D153" s="118"/>
      <c r="E153" s="118"/>
      <c r="F153" s="118"/>
      <c r="G153" s="118"/>
      <c r="H153" s="120"/>
      <c r="I153" s="121"/>
      <c r="J153" s="124"/>
      <c r="M153" s="172"/>
      <c r="N153" s="172"/>
    </row>
    <row r="154" spans="1:14" ht="15">
      <c r="A154" s="117"/>
      <c r="B154" s="37"/>
      <c r="C154" s="118"/>
      <c r="D154" s="118"/>
      <c r="E154" s="118"/>
      <c r="F154" s="118"/>
      <c r="G154" s="118"/>
      <c r="H154" s="120"/>
      <c r="I154" s="121"/>
      <c r="J154" s="124"/>
      <c r="M154" s="172"/>
      <c r="N154" s="172"/>
    </row>
    <row r="155" spans="1:14" ht="15">
      <c r="A155" s="117"/>
      <c r="B155" s="37"/>
      <c r="C155" s="118"/>
      <c r="D155" s="118"/>
      <c r="E155" s="118"/>
      <c r="F155" s="118"/>
      <c r="G155" s="118"/>
      <c r="H155" s="120"/>
      <c r="I155" s="121"/>
      <c r="J155" s="124"/>
      <c r="M155" s="172"/>
      <c r="N155" s="172"/>
    </row>
    <row r="156" spans="1:14" ht="15">
      <c r="A156" s="117"/>
      <c r="B156" s="37"/>
      <c r="C156" s="118"/>
      <c r="D156" s="118"/>
      <c r="E156" s="118"/>
      <c r="F156" s="118"/>
      <c r="G156" s="118"/>
      <c r="H156" s="120"/>
      <c r="I156" s="121"/>
      <c r="J156" s="124"/>
      <c r="M156" s="172"/>
      <c r="N156" s="172"/>
    </row>
    <row r="157" spans="1:14" ht="15">
      <c r="A157" s="117"/>
      <c r="B157" s="37"/>
      <c r="C157" s="118"/>
      <c r="D157" s="118"/>
      <c r="E157" s="118"/>
      <c r="F157" s="118"/>
      <c r="G157" s="118"/>
      <c r="H157" s="120"/>
      <c r="I157" s="121"/>
      <c r="J157" s="124"/>
      <c r="M157" s="172"/>
      <c r="N157" s="172"/>
    </row>
    <row r="158" spans="1:14" ht="15">
      <c r="A158" s="117"/>
      <c r="B158" s="37"/>
      <c r="C158" s="118"/>
      <c r="D158" s="118"/>
      <c r="E158" s="118"/>
      <c r="F158" s="118"/>
      <c r="G158" s="118"/>
      <c r="H158" s="120"/>
      <c r="I158" s="121"/>
      <c r="J158" s="124"/>
      <c r="M158" s="172"/>
      <c r="N158" s="172"/>
    </row>
    <row r="159" spans="1:14" ht="15">
      <c r="A159" s="117"/>
      <c r="B159" s="37"/>
      <c r="C159" s="118"/>
      <c r="D159" s="118"/>
      <c r="E159" s="118"/>
      <c r="F159" s="118"/>
      <c r="G159" s="118"/>
      <c r="H159" s="120"/>
      <c r="I159" s="121"/>
      <c r="J159" s="124"/>
      <c r="M159" s="172"/>
      <c r="N159" s="172"/>
    </row>
    <row r="160" spans="1:14" ht="15">
      <c r="A160" s="117"/>
      <c r="B160" s="37"/>
      <c r="C160" s="118"/>
      <c r="D160" s="118"/>
      <c r="E160" s="118"/>
      <c r="F160" s="118"/>
      <c r="G160" s="118"/>
      <c r="H160" s="120"/>
      <c r="I160" s="121"/>
      <c r="J160" s="124"/>
      <c r="M160" s="172"/>
      <c r="N160" s="172"/>
    </row>
    <row r="161" spans="1:14" ht="15">
      <c r="A161" s="117"/>
      <c r="B161" s="37"/>
      <c r="C161" s="118"/>
      <c r="D161" s="118"/>
      <c r="E161" s="118"/>
      <c r="F161" s="118"/>
      <c r="G161" s="118"/>
      <c r="H161" s="120"/>
      <c r="I161" s="121"/>
      <c r="J161" s="124"/>
      <c r="M161" s="172"/>
      <c r="N161" s="172"/>
    </row>
    <row r="162" spans="1:14" ht="15">
      <c r="A162" s="117"/>
      <c r="B162" s="37"/>
      <c r="C162" s="118"/>
      <c r="D162" s="118"/>
      <c r="E162" s="118"/>
      <c r="F162" s="118"/>
      <c r="G162" s="118"/>
      <c r="H162" s="120"/>
      <c r="I162" s="121"/>
      <c r="J162" s="124"/>
      <c r="M162" s="172"/>
      <c r="N162" s="172"/>
    </row>
    <row r="163" spans="1:14" ht="15">
      <c r="A163" s="117"/>
      <c r="B163" s="37"/>
      <c r="C163" s="118"/>
      <c r="D163" s="118"/>
      <c r="E163" s="118"/>
      <c r="F163" s="118"/>
      <c r="G163" s="118"/>
      <c r="H163" s="120"/>
      <c r="I163" s="121"/>
      <c r="J163" s="124"/>
      <c r="M163" s="172"/>
      <c r="N163" s="172"/>
    </row>
    <row r="164" spans="1:14" ht="15">
      <c r="A164" s="117"/>
      <c r="B164" s="37"/>
      <c r="C164" s="118"/>
      <c r="D164" s="118"/>
      <c r="E164" s="118"/>
      <c r="F164" s="118"/>
      <c r="G164" s="118"/>
      <c r="H164" s="120"/>
      <c r="I164" s="121"/>
      <c r="J164" s="124"/>
      <c r="M164" s="172"/>
      <c r="N164" s="172"/>
    </row>
    <row r="165" spans="1:14" ht="15">
      <c r="A165" s="117"/>
      <c r="B165" s="37"/>
      <c r="C165" s="118"/>
      <c r="D165" s="118"/>
      <c r="E165" s="118"/>
      <c r="F165" s="118"/>
      <c r="G165" s="118"/>
      <c r="H165" s="120"/>
      <c r="I165" s="121"/>
      <c r="J165" s="124"/>
      <c r="M165" s="172"/>
      <c r="N165" s="172"/>
    </row>
    <row r="166" spans="1:14" ht="15">
      <c r="A166" s="117"/>
      <c r="B166" s="37"/>
      <c r="C166" s="118"/>
      <c r="D166" s="118"/>
      <c r="E166" s="118"/>
      <c r="F166" s="118"/>
      <c r="G166" s="118"/>
      <c r="H166" s="120"/>
      <c r="I166" s="121"/>
      <c r="J166" s="124"/>
      <c r="M166" s="172"/>
      <c r="N166" s="172"/>
    </row>
    <row r="167" spans="1:14" ht="15">
      <c r="A167" s="117"/>
      <c r="B167" s="37"/>
      <c r="C167" s="118"/>
      <c r="D167" s="118"/>
      <c r="E167" s="118"/>
      <c r="F167" s="118"/>
      <c r="G167" s="118"/>
      <c r="H167" s="120"/>
      <c r="I167" s="121"/>
      <c r="J167" s="124"/>
      <c r="M167" s="172"/>
      <c r="N167" s="172"/>
    </row>
    <row r="168" spans="1:14" ht="15">
      <c r="A168" s="117"/>
      <c r="B168" s="37"/>
      <c r="C168" s="118"/>
      <c r="D168" s="118"/>
      <c r="E168" s="118"/>
      <c r="F168" s="118"/>
      <c r="G168" s="118"/>
      <c r="H168" s="120"/>
      <c r="I168" s="121"/>
      <c r="J168" s="124"/>
      <c r="M168" s="172"/>
      <c r="N168" s="172"/>
    </row>
    <row r="169" spans="1:14" ht="15">
      <c r="A169" s="117"/>
      <c r="B169" s="37"/>
      <c r="C169" s="118"/>
      <c r="D169" s="118"/>
      <c r="E169" s="118"/>
      <c r="F169" s="118"/>
      <c r="G169" s="118"/>
      <c r="H169" s="120"/>
      <c r="I169" s="121"/>
      <c r="J169" s="124"/>
      <c r="M169" s="172"/>
      <c r="N169" s="172"/>
    </row>
    <row r="170" spans="1:14" ht="15">
      <c r="A170" s="117"/>
      <c r="B170" s="37"/>
      <c r="C170" s="118"/>
      <c r="D170" s="118"/>
      <c r="E170" s="118"/>
      <c r="F170" s="118"/>
      <c r="G170" s="118"/>
      <c r="H170" s="120"/>
      <c r="I170" s="121"/>
      <c r="J170" s="124"/>
      <c r="M170" s="172"/>
      <c r="N170" s="172"/>
    </row>
    <row r="171" spans="1:14" ht="15">
      <c r="A171" s="117"/>
      <c r="B171" s="37"/>
      <c r="C171" s="118"/>
      <c r="D171" s="118"/>
      <c r="E171" s="118"/>
      <c r="F171" s="118"/>
      <c r="G171" s="118"/>
      <c r="H171" s="120"/>
      <c r="I171" s="121"/>
      <c r="J171" s="124"/>
      <c r="M171" s="172"/>
      <c r="N171" s="172"/>
    </row>
    <row r="172" spans="1:14" ht="15">
      <c r="A172" s="117"/>
      <c r="B172" s="37"/>
      <c r="C172" s="118"/>
      <c r="D172" s="118"/>
      <c r="E172" s="118"/>
      <c r="F172" s="118"/>
      <c r="G172" s="118"/>
      <c r="H172" s="120"/>
      <c r="I172" s="121"/>
      <c r="J172" s="124"/>
      <c r="M172" s="172"/>
      <c r="N172" s="172"/>
    </row>
    <row r="173" spans="1:14" ht="15">
      <c r="A173" s="117"/>
      <c r="B173" s="37"/>
      <c r="C173" s="118"/>
      <c r="D173" s="118"/>
      <c r="E173" s="118"/>
      <c r="F173" s="118"/>
      <c r="G173" s="118"/>
      <c r="H173" s="120"/>
      <c r="I173" s="121"/>
      <c r="J173" s="124"/>
      <c r="M173" s="172"/>
      <c r="N173" s="172"/>
    </row>
    <row r="174" spans="1:14" ht="15">
      <c r="A174" s="117"/>
      <c r="B174" s="37"/>
      <c r="C174" s="118"/>
      <c r="D174" s="118"/>
      <c r="E174" s="118"/>
      <c r="F174" s="118"/>
      <c r="G174" s="118"/>
      <c r="H174" s="120"/>
      <c r="I174" s="121"/>
      <c r="J174" s="124"/>
      <c r="M174" s="172"/>
      <c r="N174" s="172"/>
    </row>
    <row r="175" spans="1:14" ht="15">
      <c r="A175" s="117"/>
      <c r="B175" s="37"/>
      <c r="C175" s="118"/>
      <c r="D175" s="118"/>
      <c r="E175" s="118"/>
      <c r="F175" s="118"/>
      <c r="G175" s="118"/>
      <c r="H175" s="120"/>
      <c r="I175" s="121"/>
      <c r="J175" s="124"/>
      <c r="M175" s="172"/>
      <c r="N175" s="172"/>
    </row>
    <row r="176" spans="1:14" ht="15">
      <c r="A176" s="117"/>
      <c r="B176" s="37"/>
      <c r="C176" s="118"/>
      <c r="D176" s="118"/>
      <c r="E176" s="118"/>
      <c r="F176" s="118"/>
      <c r="G176" s="118"/>
      <c r="H176" s="120"/>
      <c r="I176" s="121"/>
      <c r="J176" s="124"/>
      <c r="M176" s="172"/>
      <c r="N176" s="172"/>
    </row>
    <row r="177" spans="1:14" ht="15">
      <c r="A177" s="117"/>
      <c r="B177" s="37"/>
      <c r="C177" s="118"/>
      <c r="D177" s="118"/>
      <c r="E177" s="118"/>
      <c r="F177" s="118"/>
      <c r="G177" s="118"/>
      <c r="H177" s="120"/>
      <c r="I177" s="121"/>
      <c r="J177" s="124"/>
      <c r="M177" s="172"/>
      <c r="N177" s="172"/>
    </row>
    <row r="178" spans="1:14" ht="15">
      <c r="A178" s="117"/>
      <c r="B178" s="37"/>
      <c r="C178" s="118"/>
      <c r="D178" s="118"/>
      <c r="E178" s="118"/>
      <c r="F178" s="118"/>
      <c r="G178" s="118"/>
      <c r="H178" s="120"/>
      <c r="I178" s="121"/>
      <c r="J178" s="124"/>
      <c r="M178" s="172"/>
      <c r="N178" s="172"/>
    </row>
    <row r="179" spans="1:14" ht="15">
      <c r="A179" s="117"/>
      <c r="B179" s="37"/>
      <c r="C179" s="118"/>
      <c r="D179" s="118"/>
      <c r="E179" s="118"/>
      <c r="F179" s="118"/>
      <c r="G179" s="118"/>
      <c r="H179" s="120"/>
      <c r="I179" s="121"/>
      <c r="J179" s="124"/>
      <c r="M179" s="172"/>
      <c r="N179" s="172"/>
    </row>
    <row r="180" spans="1:14" ht="15">
      <c r="A180" s="117"/>
      <c r="B180" s="37"/>
      <c r="C180" s="118"/>
      <c r="D180" s="118"/>
      <c r="E180" s="118"/>
      <c r="F180" s="118"/>
      <c r="G180" s="118"/>
      <c r="H180" s="120"/>
      <c r="I180" s="121"/>
      <c r="J180" s="124"/>
      <c r="M180" s="172"/>
      <c r="N180" s="172"/>
    </row>
    <row r="181" spans="1:14" ht="15">
      <c r="A181" s="117"/>
      <c r="B181" s="37"/>
      <c r="C181" s="118"/>
      <c r="D181" s="118"/>
      <c r="E181" s="118"/>
      <c r="F181" s="118"/>
      <c r="G181" s="118"/>
      <c r="H181" s="120"/>
      <c r="I181" s="121"/>
      <c r="J181" s="124"/>
      <c r="M181" s="172"/>
      <c r="N181" s="172"/>
    </row>
    <row r="182" spans="1:14" ht="15">
      <c r="A182" s="117"/>
      <c r="B182" s="37"/>
      <c r="C182" s="118"/>
      <c r="D182" s="118"/>
      <c r="E182" s="118"/>
      <c r="F182" s="118"/>
      <c r="G182" s="118"/>
      <c r="H182" s="120"/>
      <c r="I182" s="121"/>
      <c r="J182" s="124"/>
      <c r="M182" s="172"/>
      <c r="N182" s="172"/>
    </row>
    <row r="183" spans="1:14" ht="15">
      <c r="A183" s="117"/>
      <c r="B183" s="37"/>
      <c r="C183" s="118"/>
      <c r="D183" s="118"/>
      <c r="E183" s="118"/>
      <c r="F183" s="118"/>
      <c r="G183" s="118"/>
      <c r="H183" s="120"/>
      <c r="I183" s="121"/>
      <c r="J183" s="124"/>
      <c r="M183" s="172"/>
      <c r="N183" s="172"/>
    </row>
    <row r="184" spans="1:14" ht="15">
      <c r="A184" s="117"/>
      <c r="B184" s="37"/>
      <c r="C184" s="118"/>
      <c r="D184" s="118"/>
      <c r="E184" s="118"/>
      <c r="F184" s="118"/>
      <c r="G184" s="118"/>
      <c r="H184" s="120"/>
      <c r="I184" s="121"/>
      <c r="J184" s="124"/>
      <c r="M184" s="172"/>
      <c r="N184" s="172"/>
    </row>
    <row r="185" spans="1:14" ht="15">
      <c r="A185" s="117"/>
      <c r="B185" s="37"/>
      <c r="C185" s="118"/>
      <c r="D185" s="118"/>
      <c r="E185" s="118"/>
      <c r="F185" s="118"/>
      <c r="G185" s="118"/>
      <c r="H185" s="120"/>
      <c r="I185" s="121"/>
      <c r="J185" s="124"/>
      <c r="M185" s="172"/>
      <c r="N185" s="172"/>
    </row>
    <row r="186" spans="1:14" ht="15">
      <c r="A186" s="117"/>
      <c r="B186" s="37"/>
      <c r="C186" s="118"/>
      <c r="D186" s="118"/>
      <c r="E186" s="118"/>
      <c r="F186" s="118"/>
      <c r="G186" s="118"/>
      <c r="H186" s="120"/>
      <c r="I186" s="121"/>
      <c r="J186" s="124"/>
      <c r="M186" s="172"/>
      <c r="N186" s="172"/>
    </row>
    <row r="187" spans="1:14" ht="15">
      <c r="A187" s="117"/>
      <c r="B187" s="37"/>
      <c r="C187" s="118"/>
      <c r="D187" s="118"/>
      <c r="E187" s="118"/>
      <c r="F187" s="118"/>
      <c r="G187" s="118"/>
      <c r="H187" s="120"/>
      <c r="I187" s="121"/>
      <c r="J187" s="124"/>
      <c r="M187" s="172"/>
      <c r="N187" s="172"/>
    </row>
    <row r="188" spans="1:14" ht="15">
      <c r="A188" s="117"/>
      <c r="B188" s="37"/>
      <c r="C188" s="118"/>
      <c r="D188" s="118"/>
      <c r="E188" s="118"/>
      <c r="F188" s="118"/>
      <c r="G188" s="118"/>
      <c r="H188" s="120"/>
      <c r="I188" s="121"/>
      <c r="J188" s="124"/>
      <c r="M188" s="172"/>
      <c r="N188" s="172"/>
    </row>
    <row r="189" spans="1:14" ht="15">
      <c r="A189" s="117"/>
      <c r="B189" s="37"/>
      <c r="C189" s="118"/>
      <c r="D189" s="118"/>
      <c r="E189" s="118"/>
      <c r="F189" s="118"/>
      <c r="G189" s="118"/>
      <c r="H189" s="120"/>
      <c r="I189" s="121"/>
      <c r="J189" s="124"/>
      <c r="M189" s="172"/>
      <c r="N189" s="172"/>
    </row>
    <row r="190" spans="1:14" ht="15">
      <c r="A190" s="117"/>
      <c r="B190" s="37"/>
      <c r="C190" s="118"/>
      <c r="D190" s="118"/>
      <c r="E190" s="118"/>
      <c r="F190" s="118"/>
      <c r="G190" s="118"/>
      <c r="H190" s="120"/>
      <c r="I190" s="121"/>
      <c r="J190" s="124"/>
      <c r="M190" s="172"/>
      <c r="N190" s="172"/>
    </row>
    <row r="191" spans="1:14" ht="15">
      <c r="A191" s="117"/>
      <c r="B191" s="37"/>
      <c r="C191" s="118"/>
      <c r="D191" s="118"/>
      <c r="E191" s="118"/>
      <c r="F191" s="118"/>
      <c r="G191" s="118"/>
      <c r="H191" s="120"/>
      <c r="I191" s="121"/>
      <c r="J191" s="124"/>
      <c r="M191" s="172"/>
      <c r="N191" s="172"/>
    </row>
    <row r="192" spans="1:14" ht="15">
      <c r="A192" s="117"/>
      <c r="B192" s="37"/>
      <c r="C192" s="118"/>
      <c r="D192" s="118"/>
      <c r="E192" s="118"/>
      <c r="F192" s="118"/>
      <c r="G192" s="118"/>
      <c r="H192" s="120"/>
      <c r="I192" s="121"/>
      <c r="J192" s="124"/>
      <c r="M192" s="172"/>
      <c r="N192" s="172"/>
    </row>
    <row r="193" spans="1:14" ht="15">
      <c r="A193" s="117"/>
      <c r="B193" s="37"/>
      <c r="C193" s="118"/>
      <c r="D193" s="118"/>
      <c r="E193" s="118"/>
      <c r="F193" s="118"/>
      <c r="G193" s="118"/>
      <c r="H193" s="120"/>
      <c r="I193" s="121"/>
      <c r="J193" s="124"/>
      <c r="M193" s="172"/>
      <c r="N193" s="172"/>
    </row>
    <row r="194" spans="1:14" ht="15">
      <c r="A194" s="117"/>
      <c r="B194" s="37"/>
      <c r="C194" s="118"/>
      <c r="D194" s="118"/>
      <c r="E194" s="118"/>
      <c r="F194" s="118"/>
      <c r="G194" s="118"/>
      <c r="H194" s="120"/>
      <c r="I194" s="121"/>
      <c r="J194" s="124"/>
      <c r="M194" s="172"/>
      <c r="N194" s="172"/>
    </row>
    <row r="195" spans="1:14" ht="15">
      <c r="A195" s="117"/>
      <c r="B195" s="37"/>
      <c r="C195" s="118"/>
      <c r="D195" s="118"/>
      <c r="E195" s="118"/>
      <c r="F195" s="118"/>
      <c r="G195" s="118"/>
      <c r="H195" s="120"/>
      <c r="I195" s="121"/>
      <c r="J195" s="124"/>
      <c r="M195" s="172"/>
      <c r="N195" s="172"/>
    </row>
    <row r="196" spans="1:14" ht="15">
      <c r="A196" s="117"/>
      <c r="B196" s="37"/>
      <c r="C196" s="118"/>
      <c r="D196" s="118"/>
      <c r="E196" s="118"/>
      <c r="F196" s="118"/>
      <c r="G196" s="118"/>
      <c r="H196" s="120"/>
      <c r="I196" s="121"/>
      <c r="J196" s="124"/>
      <c r="M196" s="172"/>
      <c r="N196" s="172"/>
    </row>
    <row r="197" spans="1:14" ht="15">
      <c r="A197" s="117"/>
      <c r="B197" s="37"/>
      <c r="C197" s="118"/>
      <c r="D197" s="118"/>
      <c r="E197" s="118"/>
      <c r="F197" s="118"/>
      <c r="G197" s="118"/>
      <c r="H197" s="120"/>
      <c r="I197" s="121"/>
      <c r="J197" s="124"/>
      <c r="M197" s="172"/>
      <c r="N197" s="172"/>
    </row>
    <row r="198" spans="1:14" ht="15">
      <c r="A198" s="117"/>
      <c r="B198" s="37"/>
      <c r="C198" s="118"/>
      <c r="D198" s="118"/>
      <c r="E198" s="118"/>
      <c r="F198" s="118"/>
      <c r="G198" s="118"/>
      <c r="H198" s="120"/>
      <c r="I198" s="121"/>
      <c r="J198" s="124"/>
      <c r="M198" s="172"/>
      <c r="N198" s="172"/>
    </row>
    <row r="199" spans="1:14" ht="15">
      <c r="A199" s="117"/>
      <c r="B199" s="37"/>
      <c r="C199" s="118"/>
      <c r="D199" s="118"/>
      <c r="E199" s="118"/>
      <c r="F199" s="118"/>
      <c r="G199" s="118"/>
      <c r="H199" s="120"/>
      <c r="I199" s="121"/>
      <c r="J199" s="124"/>
      <c r="M199" s="172"/>
      <c r="N199" s="172"/>
    </row>
    <row r="200" spans="1:14" ht="15">
      <c r="A200" s="117"/>
      <c r="B200" s="37"/>
      <c r="C200" s="118"/>
      <c r="D200" s="118"/>
      <c r="E200" s="118"/>
      <c r="F200" s="118"/>
      <c r="G200" s="118"/>
      <c r="H200" s="120"/>
      <c r="I200" s="121"/>
      <c r="J200" s="124"/>
      <c r="M200" s="172"/>
      <c r="N200" s="172"/>
    </row>
    <row r="201" spans="1:14" ht="15">
      <c r="A201" s="117"/>
      <c r="B201" s="37"/>
      <c r="C201" s="118"/>
      <c r="D201" s="118"/>
      <c r="E201" s="118"/>
      <c r="F201" s="118"/>
      <c r="G201" s="118"/>
      <c r="H201" s="120"/>
      <c r="I201" s="121"/>
      <c r="J201" s="124"/>
      <c r="M201" s="172"/>
      <c r="N201" s="172"/>
    </row>
    <row r="202" spans="1:14" ht="15">
      <c r="A202" s="117"/>
      <c r="B202" s="37"/>
      <c r="C202" s="118"/>
      <c r="D202" s="118"/>
      <c r="E202" s="118"/>
      <c r="F202" s="118"/>
      <c r="G202" s="118"/>
      <c r="H202" s="120"/>
      <c r="I202" s="121"/>
      <c r="J202" s="124"/>
      <c r="M202" s="172"/>
      <c r="N202" s="172"/>
    </row>
    <row r="203" spans="1:14" ht="15">
      <c r="A203" s="117"/>
      <c r="B203" s="37"/>
      <c r="C203" s="118"/>
      <c r="D203" s="118"/>
      <c r="E203" s="118"/>
      <c r="F203" s="118"/>
      <c r="G203" s="118"/>
      <c r="H203" s="120"/>
      <c r="I203" s="121"/>
      <c r="J203" s="124"/>
      <c r="M203" s="172"/>
      <c r="N203" s="172"/>
    </row>
    <row r="204" spans="1:14" ht="15">
      <c r="A204" s="117"/>
      <c r="B204" s="37"/>
      <c r="C204" s="118"/>
      <c r="D204" s="118"/>
      <c r="E204" s="118"/>
      <c r="F204" s="118"/>
      <c r="G204" s="118"/>
      <c r="H204" s="120"/>
      <c r="I204" s="121"/>
      <c r="J204" s="124"/>
      <c r="M204" s="172"/>
      <c r="N204" s="172"/>
    </row>
    <row r="205" spans="1:14" ht="15">
      <c r="A205" s="117"/>
      <c r="B205" s="37"/>
      <c r="C205" s="118"/>
      <c r="D205" s="118"/>
      <c r="E205" s="118"/>
      <c r="F205" s="118"/>
      <c r="G205" s="118"/>
      <c r="H205" s="120"/>
      <c r="I205" s="121"/>
      <c r="J205" s="124"/>
      <c r="M205" s="172"/>
      <c r="N205" s="172"/>
    </row>
    <row r="206" spans="1:14" ht="15">
      <c r="A206" s="117"/>
      <c r="B206" s="37"/>
      <c r="C206" s="118"/>
      <c r="D206" s="118"/>
      <c r="E206" s="118"/>
      <c r="F206" s="118"/>
      <c r="G206" s="118"/>
      <c r="H206" s="120"/>
      <c r="I206" s="121"/>
      <c r="J206" s="124"/>
      <c r="M206" s="172"/>
      <c r="N206" s="172"/>
    </row>
    <row r="207" spans="1:14" ht="15">
      <c r="A207" s="117"/>
      <c r="B207" s="37"/>
      <c r="C207" s="118"/>
      <c r="D207" s="118"/>
      <c r="E207" s="118"/>
      <c r="F207" s="118"/>
      <c r="G207" s="118"/>
      <c r="H207" s="120"/>
      <c r="I207" s="121"/>
      <c r="J207" s="124"/>
      <c r="M207" s="172"/>
      <c r="N207" s="172"/>
    </row>
    <row r="208" spans="1:14" ht="15">
      <c r="A208" s="117"/>
      <c r="B208" s="37"/>
      <c r="C208" s="118"/>
      <c r="D208" s="118"/>
      <c r="E208" s="118"/>
      <c r="F208" s="118"/>
      <c r="G208" s="118"/>
      <c r="H208" s="120"/>
      <c r="I208" s="121"/>
      <c r="J208" s="124"/>
      <c r="M208" s="172"/>
      <c r="N208" s="172"/>
    </row>
    <row r="209" spans="1:14" ht="15">
      <c r="A209" s="117"/>
      <c r="B209" s="37"/>
      <c r="C209" s="118"/>
      <c r="D209" s="118"/>
      <c r="E209" s="118"/>
      <c r="F209" s="118"/>
      <c r="G209" s="118"/>
      <c r="H209" s="120"/>
      <c r="I209" s="121"/>
      <c r="J209" s="124"/>
      <c r="M209" s="172"/>
      <c r="N209" s="172"/>
    </row>
    <row r="210" spans="1:14" ht="15">
      <c r="A210" s="117"/>
      <c r="B210" s="37"/>
      <c r="C210" s="118"/>
      <c r="D210" s="118"/>
      <c r="E210" s="118"/>
      <c r="F210" s="118"/>
      <c r="G210" s="118"/>
      <c r="H210" s="120"/>
      <c r="I210" s="121"/>
      <c r="J210" s="124"/>
      <c r="M210" s="172"/>
      <c r="N210" s="172"/>
    </row>
    <row r="211" spans="1:14" ht="15">
      <c r="A211" s="117"/>
      <c r="B211" s="37"/>
      <c r="C211" s="118"/>
      <c r="D211" s="118"/>
      <c r="E211" s="118"/>
      <c r="F211" s="118"/>
      <c r="G211" s="118"/>
      <c r="H211" s="120"/>
      <c r="I211" s="121"/>
      <c r="J211" s="124"/>
      <c r="M211" s="172"/>
      <c r="N211" s="172"/>
    </row>
    <row r="212" spans="1:14" ht="15">
      <c r="A212" s="117"/>
      <c r="B212" s="37"/>
      <c r="C212" s="118"/>
      <c r="D212" s="118"/>
      <c r="E212" s="118"/>
      <c r="F212" s="118"/>
      <c r="G212" s="118"/>
      <c r="H212" s="120"/>
      <c r="I212" s="121"/>
      <c r="J212" s="124"/>
      <c r="M212" s="172"/>
      <c r="N212" s="172"/>
    </row>
    <row r="213" spans="1:14" ht="15">
      <c r="A213" s="117"/>
      <c r="B213" s="37"/>
      <c r="C213" s="118"/>
      <c r="D213" s="118"/>
      <c r="E213" s="118"/>
      <c r="F213" s="118"/>
      <c r="G213" s="118"/>
      <c r="H213" s="120"/>
      <c r="I213" s="121"/>
      <c r="J213" s="124"/>
      <c r="M213" s="172"/>
      <c r="N213" s="172"/>
    </row>
    <row r="214" spans="1:14" ht="15">
      <c r="A214" s="117"/>
      <c r="B214" s="37"/>
      <c r="C214" s="118"/>
      <c r="D214" s="118"/>
      <c r="E214" s="118"/>
      <c r="F214" s="118"/>
      <c r="G214" s="118"/>
      <c r="H214" s="120"/>
      <c r="I214" s="121"/>
      <c r="J214" s="124"/>
      <c r="M214" s="172"/>
      <c r="N214" s="172"/>
    </row>
    <row r="215" spans="1:14" ht="15">
      <c r="A215" s="117"/>
      <c r="B215" s="37"/>
      <c r="C215" s="118"/>
      <c r="D215" s="118"/>
      <c r="E215" s="118"/>
      <c r="F215" s="118"/>
      <c r="G215" s="118"/>
      <c r="H215" s="120"/>
      <c r="I215" s="121"/>
      <c r="J215" s="124"/>
      <c r="M215" s="172"/>
      <c r="N215" s="172"/>
    </row>
    <row r="216" spans="1:14" ht="15">
      <c r="A216" s="117"/>
      <c r="B216" s="37"/>
      <c r="C216" s="118"/>
      <c r="D216" s="118"/>
      <c r="E216" s="118"/>
      <c r="F216" s="118"/>
      <c r="G216" s="118"/>
      <c r="H216" s="120"/>
      <c r="I216" s="121"/>
      <c r="J216" s="124"/>
      <c r="M216" s="172"/>
      <c r="N216" s="172"/>
    </row>
    <row r="217" spans="1:14" ht="15">
      <c r="A217" s="117"/>
      <c r="B217" s="37"/>
      <c r="C217" s="118"/>
      <c r="D217" s="118"/>
      <c r="E217" s="118"/>
      <c r="F217" s="118"/>
      <c r="G217" s="118"/>
      <c r="H217" s="120"/>
      <c r="I217" s="121"/>
      <c r="J217" s="124"/>
      <c r="M217" s="172"/>
      <c r="N217" s="172"/>
    </row>
    <row r="218" spans="1:14" ht="15">
      <c r="A218" s="117"/>
      <c r="B218" s="37"/>
      <c r="C218" s="118"/>
      <c r="D218" s="118"/>
      <c r="E218" s="118"/>
      <c r="F218" s="118"/>
      <c r="G218" s="118"/>
      <c r="H218" s="120"/>
      <c r="I218" s="121"/>
      <c r="J218" s="124"/>
      <c r="M218" s="172"/>
      <c r="N218" s="172"/>
    </row>
    <row r="219" spans="1:14" ht="15">
      <c r="A219" s="117"/>
      <c r="B219" s="37"/>
      <c r="C219" s="118"/>
      <c r="D219" s="118"/>
      <c r="E219" s="118"/>
      <c r="F219" s="118"/>
      <c r="G219" s="118"/>
      <c r="H219" s="120"/>
      <c r="I219" s="121"/>
      <c r="J219" s="124"/>
      <c r="M219" s="172"/>
      <c r="N219" s="172"/>
    </row>
    <row r="220" spans="1:14" ht="15">
      <c r="A220" s="117"/>
      <c r="B220" s="37"/>
      <c r="C220" s="118"/>
      <c r="D220" s="118"/>
      <c r="E220" s="118"/>
      <c r="F220" s="118"/>
      <c r="G220" s="118"/>
      <c r="H220" s="120"/>
      <c r="I220" s="121"/>
      <c r="J220" s="124"/>
      <c r="M220" s="172"/>
      <c r="N220" s="172"/>
    </row>
    <row r="221" spans="1:14" ht="15">
      <c r="A221" s="117"/>
      <c r="B221" s="37"/>
      <c r="C221" s="118"/>
      <c r="D221" s="118"/>
      <c r="E221" s="118"/>
      <c r="F221" s="118"/>
      <c r="G221" s="118"/>
      <c r="H221" s="120"/>
      <c r="I221" s="121"/>
      <c r="J221" s="124"/>
      <c r="M221" s="172"/>
      <c r="N221" s="172"/>
    </row>
    <row r="222" spans="1:14" ht="15">
      <c r="A222" s="117"/>
      <c r="B222" s="37"/>
      <c r="C222" s="118"/>
      <c r="D222" s="118"/>
      <c r="E222" s="118"/>
      <c r="F222" s="118"/>
      <c r="G222" s="118"/>
      <c r="H222" s="120"/>
      <c r="I222" s="121"/>
      <c r="J222" s="124"/>
      <c r="M222" s="172"/>
      <c r="N222" s="172"/>
    </row>
    <row r="223" spans="1:14" ht="15">
      <c r="A223" s="117"/>
      <c r="B223" s="37"/>
      <c r="C223" s="118"/>
      <c r="D223" s="118"/>
      <c r="E223" s="118"/>
      <c r="F223" s="118"/>
      <c r="G223" s="118"/>
      <c r="H223" s="120"/>
      <c r="I223" s="121"/>
      <c r="J223" s="124"/>
      <c r="M223" s="172"/>
      <c r="N223" s="172"/>
    </row>
    <row r="224" spans="1:14" ht="15">
      <c r="A224" s="117"/>
      <c r="B224" s="37"/>
      <c r="C224" s="118"/>
      <c r="D224" s="118"/>
      <c r="E224" s="118"/>
      <c r="F224" s="118"/>
      <c r="G224" s="118"/>
      <c r="H224" s="120"/>
      <c r="I224" s="121"/>
      <c r="J224" s="124"/>
      <c r="M224" s="172"/>
      <c r="N224" s="172"/>
    </row>
    <row r="225" spans="1:14" ht="15">
      <c r="A225" s="117"/>
      <c r="B225" s="37"/>
      <c r="C225" s="118"/>
      <c r="D225" s="118"/>
      <c r="E225" s="118"/>
      <c r="F225" s="118"/>
      <c r="G225" s="118"/>
      <c r="H225" s="120"/>
      <c r="I225" s="121"/>
      <c r="J225" s="124"/>
      <c r="M225" s="172"/>
      <c r="N225" s="172"/>
    </row>
    <row r="226" spans="1:14" ht="15">
      <c r="A226" s="117"/>
      <c r="B226" s="37"/>
      <c r="C226" s="118"/>
      <c r="D226" s="118"/>
      <c r="E226" s="118"/>
      <c r="F226" s="118"/>
      <c r="G226" s="118"/>
      <c r="H226" s="120"/>
      <c r="I226" s="121"/>
      <c r="J226" s="124"/>
      <c r="M226" s="172"/>
      <c r="N226" s="172"/>
    </row>
    <row r="227" spans="1:14" ht="15">
      <c r="A227" s="117"/>
      <c r="B227" s="37"/>
      <c r="C227" s="118"/>
      <c r="D227" s="118"/>
      <c r="E227" s="118"/>
      <c r="F227" s="118"/>
      <c r="G227" s="118"/>
      <c r="H227" s="120"/>
      <c r="I227" s="121"/>
      <c r="J227" s="124"/>
      <c r="M227" s="172"/>
      <c r="N227" s="172"/>
    </row>
    <row r="228" spans="1:14" ht="15">
      <c r="A228" s="117"/>
      <c r="B228" s="37"/>
      <c r="C228" s="118"/>
      <c r="D228" s="118"/>
      <c r="E228" s="118"/>
      <c r="F228" s="118"/>
      <c r="G228" s="118"/>
      <c r="H228" s="120"/>
      <c r="I228" s="121"/>
      <c r="J228" s="124"/>
      <c r="M228" s="172"/>
      <c r="N228" s="172"/>
    </row>
    <row r="229" spans="1:14" ht="15">
      <c r="A229" s="117"/>
      <c r="B229" s="37"/>
      <c r="C229" s="118"/>
      <c r="D229" s="118"/>
      <c r="E229" s="118"/>
      <c r="F229" s="118"/>
      <c r="G229" s="118"/>
      <c r="H229" s="120"/>
      <c r="I229" s="121"/>
      <c r="J229" s="124"/>
      <c r="M229" s="172"/>
      <c r="N229" s="172"/>
    </row>
    <row r="230" spans="1:14" ht="15">
      <c r="A230" s="117"/>
      <c r="B230" s="37"/>
      <c r="C230" s="118"/>
      <c r="D230" s="118"/>
      <c r="E230" s="118"/>
      <c r="F230" s="118"/>
      <c r="G230" s="118"/>
      <c r="H230" s="120"/>
      <c r="I230" s="121"/>
      <c r="J230" s="124"/>
      <c r="M230" s="172"/>
      <c r="N230" s="172"/>
    </row>
    <row r="231" spans="1:14" ht="15">
      <c r="A231" s="117"/>
      <c r="B231" s="37"/>
      <c r="C231" s="118"/>
      <c r="D231" s="118"/>
      <c r="E231" s="118"/>
      <c r="F231" s="118"/>
      <c r="G231" s="118"/>
      <c r="H231" s="120"/>
      <c r="I231" s="121"/>
      <c r="J231" s="124"/>
      <c r="M231" s="172"/>
      <c r="N231" s="172"/>
    </row>
    <row r="232" spans="1:14" ht="15">
      <c r="A232" s="117"/>
      <c r="B232" s="37"/>
      <c r="C232" s="118"/>
      <c r="D232" s="118"/>
      <c r="E232" s="118"/>
      <c r="F232" s="118"/>
      <c r="G232" s="118"/>
      <c r="H232" s="120"/>
      <c r="I232" s="121"/>
      <c r="J232" s="124"/>
      <c r="M232" s="172"/>
      <c r="N232" s="172"/>
    </row>
    <row r="233" spans="1:14" ht="15">
      <c r="A233" s="117"/>
      <c r="B233" s="37"/>
      <c r="C233" s="118"/>
      <c r="D233" s="118"/>
      <c r="E233" s="118"/>
      <c r="F233" s="118"/>
      <c r="G233" s="118"/>
      <c r="H233" s="120"/>
      <c r="I233" s="121"/>
      <c r="J233" s="124"/>
      <c r="M233" s="172"/>
      <c r="N233" s="172"/>
    </row>
    <row r="234" spans="1:14" ht="15">
      <c r="A234" s="117"/>
      <c r="B234" s="37"/>
      <c r="C234" s="118"/>
      <c r="D234" s="118"/>
      <c r="E234" s="118"/>
      <c r="F234" s="118"/>
      <c r="G234" s="118"/>
      <c r="H234" s="120"/>
      <c r="I234" s="121"/>
      <c r="J234" s="124"/>
      <c r="M234" s="172"/>
      <c r="N234" s="172"/>
    </row>
    <row r="235" spans="1:14" ht="15">
      <c r="A235" s="117"/>
      <c r="B235" s="37"/>
      <c r="C235" s="118"/>
      <c r="D235" s="118"/>
      <c r="E235" s="118"/>
      <c r="F235" s="118"/>
      <c r="G235" s="118"/>
      <c r="H235" s="120"/>
      <c r="I235" s="121"/>
      <c r="J235" s="124"/>
      <c r="M235" s="172"/>
      <c r="N235" s="172"/>
    </row>
    <row r="236" spans="1:14" ht="15">
      <c r="A236" s="117"/>
      <c r="B236" s="37"/>
      <c r="C236" s="118"/>
      <c r="D236" s="118"/>
      <c r="E236" s="118"/>
      <c r="F236" s="118"/>
      <c r="G236" s="118"/>
      <c r="H236" s="120"/>
      <c r="I236" s="121"/>
      <c r="J236" s="124"/>
      <c r="M236" s="172"/>
      <c r="N236" s="172"/>
    </row>
    <row r="237" spans="1:14" ht="15">
      <c r="A237" s="117"/>
      <c r="B237" s="37"/>
      <c r="C237" s="118"/>
      <c r="D237" s="118"/>
      <c r="E237" s="118"/>
      <c r="F237" s="118"/>
      <c r="G237" s="118"/>
      <c r="H237" s="120"/>
      <c r="I237" s="121"/>
      <c r="J237" s="124"/>
      <c r="M237" s="172"/>
      <c r="N237" s="172"/>
    </row>
    <row r="238" spans="1:14" ht="15">
      <c r="A238" s="117"/>
      <c r="B238" s="37"/>
      <c r="C238" s="118"/>
      <c r="D238" s="118"/>
      <c r="E238" s="118"/>
      <c r="F238" s="118"/>
      <c r="G238" s="118"/>
      <c r="H238" s="120"/>
      <c r="I238" s="121"/>
      <c r="J238" s="124"/>
      <c r="M238" s="172"/>
      <c r="N238" s="172"/>
    </row>
    <row r="239" spans="1:14" ht="15">
      <c r="A239" s="117"/>
      <c r="B239" s="37"/>
      <c r="C239" s="118"/>
      <c r="D239" s="118"/>
      <c r="E239" s="118"/>
      <c r="F239" s="118"/>
      <c r="G239" s="118"/>
      <c r="H239" s="120"/>
      <c r="I239" s="121"/>
      <c r="J239" s="124"/>
      <c r="M239" s="172"/>
      <c r="N239" s="172"/>
    </row>
    <row r="240" spans="1:14" ht="15">
      <c r="A240" s="117"/>
      <c r="B240" s="37"/>
      <c r="C240" s="118"/>
      <c r="D240" s="118"/>
      <c r="E240" s="118"/>
      <c r="F240" s="118"/>
      <c r="G240" s="118"/>
      <c r="H240" s="120"/>
      <c r="I240" s="121"/>
      <c r="J240" s="124"/>
      <c r="M240" s="172"/>
      <c r="N240" s="172"/>
    </row>
    <row r="241" spans="1:14" ht="15">
      <c r="A241" s="117"/>
      <c r="B241" s="37"/>
      <c r="C241" s="118"/>
      <c r="D241" s="118"/>
      <c r="E241" s="118"/>
      <c r="F241" s="118"/>
      <c r="G241" s="118"/>
      <c r="H241" s="120"/>
      <c r="I241" s="121"/>
      <c r="J241" s="124"/>
      <c r="M241" s="172"/>
      <c r="N241" s="172"/>
    </row>
    <row r="242" spans="1:14" ht="15">
      <c r="A242" s="117"/>
      <c r="B242" s="37"/>
      <c r="C242" s="118"/>
      <c r="D242" s="118"/>
      <c r="E242" s="118"/>
      <c r="F242" s="118"/>
      <c r="G242" s="118"/>
      <c r="H242" s="120"/>
      <c r="I242" s="121"/>
      <c r="J242" s="124"/>
      <c r="M242" s="172"/>
      <c r="N242" s="172"/>
    </row>
    <row r="243" spans="1:14" ht="15">
      <c r="A243" s="117"/>
      <c r="B243" s="37"/>
      <c r="C243" s="118"/>
      <c r="D243" s="118"/>
      <c r="E243" s="118"/>
      <c r="F243" s="118"/>
      <c r="G243" s="118"/>
      <c r="H243" s="120"/>
      <c r="I243" s="121"/>
      <c r="J243" s="124"/>
      <c r="M243" s="172"/>
      <c r="N243" s="172"/>
    </row>
    <row r="244" spans="1:14" ht="15">
      <c r="A244" s="117"/>
      <c r="B244" s="37"/>
      <c r="C244" s="118"/>
      <c r="D244" s="118"/>
      <c r="E244" s="118"/>
      <c r="F244" s="118"/>
      <c r="G244" s="118"/>
      <c r="H244" s="120"/>
      <c r="I244" s="121"/>
      <c r="J244" s="124"/>
      <c r="M244" s="172"/>
      <c r="N244" s="172"/>
    </row>
    <row r="245" spans="1:14" ht="15">
      <c r="A245" s="117"/>
      <c r="B245" s="37"/>
      <c r="C245" s="118"/>
      <c r="D245" s="118"/>
      <c r="E245" s="118"/>
      <c r="F245" s="118"/>
      <c r="G245" s="118"/>
      <c r="H245" s="120"/>
      <c r="I245" s="121"/>
      <c r="J245" s="124"/>
      <c r="M245" s="172"/>
      <c r="N245" s="172"/>
    </row>
    <row r="246" spans="1:14" ht="15">
      <c r="A246" s="117"/>
      <c r="B246" s="37"/>
      <c r="C246" s="118"/>
      <c r="D246" s="118"/>
      <c r="E246" s="118"/>
      <c r="F246" s="118"/>
      <c r="G246" s="118"/>
      <c r="H246" s="120"/>
      <c r="I246" s="121"/>
      <c r="J246" s="124"/>
      <c r="M246" s="172"/>
      <c r="N246" s="172"/>
    </row>
    <row r="247" spans="1:14" ht="15">
      <c r="A247" s="117"/>
      <c r="B247" s="37"/>
      <c r="C247" s="118"/>
      <c r="D247" s="118"/>
      <c r="E247" s="118"/>
      <c r="F247" s="118"/>
      <c r="G247" s="118"/>
      <c r="H247" s="120"/>
      <c r="I247" s="121"/>
      <c r="J247" s="124"/>
      <c r="M247" s="172"/>
      <c r="N247" s="172"/>
    </row>
    <row r="248" spans="1:14" ht="15">
      <c r="A248" s="117"/>
      <c r="B248" s="37"/>
      <c r="C248" s="118"/>
      <c r="D248" s="118"/>
      <c r="E248" s="118"/>
      <c r="F248" s="118"/>
      <c r="G248" s="118"/>
      <c r="H248" s="120"/>
      <c r="I248" s="121"/>
      <c r="J248" s="124"/>
      <c r="M248" s="172"/>
      <c r="N248" s="172"/>
    </row>
    <row r="249" spans="1:14" ht="15">
      <c r="A249" s="117"/>
      <c r="B249" s="37"/>
      <c r="C249" s="118"/>
      <c r="D249" s="118"/>
      <c r="E249" s="118"/>
      <c r="F249" s="118"/>
      <c r="G249" s="118"/>
      <c r="H249" s="120"/>
      <c r="I249" s="121"/>
      <c r="J249" s="124"/>
      <c r="M249" s="172"/>
      <c r="N249" s="172"/>
    </row>
    <row r="250" spans="1:14" ht="15">
      <c r="A250" s="117"/>
      <c r="B250" s="37"/>
      <c r="C250" s="118"/>
      <c r="D250" s="118"/>
      <c r="E250" s="118"/>
      <c r="F250" s="118"/>
      <c r="G250" s="118"/>
      <c r="H250" s="120"/>
      <c r="I250" s="121"/>
      <c r="J250" s="124"/>
      <c r="M250" s="172"/>
      <c r="N250" s="172"/>
    </row>
    <row r="251" spans="1:14" ht="15">
      <c r="A251" s="117"/>
      <c r="B251" s="37"/>
      <c r="C251" s="118"/>
      <c r="D251" s="118"/>
      <c r="E251" s="118"/>
      <c r="F251" s="118"/>
      <c r="G251" s="118"/>
      <c r="H251" s="120"/>
      <c r="I251" s="121"/>
      <c r="J251" s="124"/>
      <c r="M251" s="172"/>
      <c r="N251" s="172"/>
    </row>
    <row r="252" spans="1:14" ht="15">
      <c r="A252" s="117"/>
      <c r="B252" s="37"/>
      <c r="C252" s="118"/>
      <c r="D252" s="118"/>
      <c r="E252" s="118"/>
      <c r="F252" s="118"/>
      <c r="G252" s="118"/>
      <c r="H252" s="120"/>
      <c r="I252" s="121"/>
      <c r="J252" s="124"/>
      <c r="M252" s="172"/>
      <c r="N252" s="172"/>
    </row>
    <row r="253" spans="1:14" ht="15">
      <c r="A253" s="117"/>
      <c r="B253" s="37"/>
      <c r="C253" s="118"/>
      <c r="D253" s="118"/>
      <c r="E253" s="118"/>
      <c r="F253" s="118"/>
      <c r="G253" s="118"/>
      <c r="H253" s="120"/>
      <c r="I253" s="121"/>
      <c r="J253" s="124"/>
      <c r="M253" s="172"/>
      <c r="N253" s="172"/>
    </row>
    <row r="254" spans="1:14" ht="15">
      <c r="A254" s="117"/>
      <c r="B254" s="37"/>
      <c r="C254" s="118"/>
      <c r="D254" s="118"/>
      <c r="E254" s="118"/>
      <c r="F254" s="118"/>
      <c r="G254" s="118"/>
      <c r="H254" s="120"/>
      <c r="I254" s="121"/>
      <c r="J254" s="124"/>
      <c r="M254" s="172"/>
      <c r="N254" s="172"/>
    </row>
    <row r="255" spans="1:14" ht="15">
      <c r="A255" s="117"/>
      <c r="B255" s="37"/>
      <c r="C255" s="118"/>
      <c r="D255" s="118"/>
      <c r="E255" s="118"/>
      <c r="F255" s="118"/>
      <c r="G255" s="118"/>
      <c r="H255" s="120"/>
      <c r="I255" s="121"/>
      <c r="J255" s="124"/>
      <c r="M255" s="172"/>
      <c r="N255" s="172"/>
    </row>
    <row r="256" spans="1:14" ht="15">
      <c r="A256" s="117"/>
      <c r="B256" s="37"/>
      <c r="C256" s="118"/>
      <c r="D256" s="118"/>
      <c r="E256" s="118"/>
      <c r="F256" s="118"/>
      <c r="G256" s="118"/>
      <c r="H256" s="120"/>
      <c r="I256" s="121"/>
      <c r="J256" s="124"/>
      <c r="M256" s="172"/>
      <c r="N256" s="172"/>
    </row>
    <row r="257" spans="1:14" ht="15">
      <c r="A257" s="117"/>
      <c r="B257" s="37"/>
      <c r="C257" s="118"/>
      <c r="D257" s="118"/>
      <c r="E257" s="118"/>
      <c r="F257" s="118"/>
      <c r="G257" s="118"/>
      <c r="H257" s="120"/>
      <c r="I257" s="121"/>
      <c r="J257" s="124"/>
      <c r="M257" s="172"/>
      <c r="N257" s="172"/>
    </row>
    <row r="258" spans="1:14" ht="15">
      <c r="A258" s="117"/>
      <c r="B258" s="37"/>
      <c r="C258" s="118"/>
      <c r="D258" s="118"/>
      <c r="E258" s="118"/>
      <c r="F258" s="118"/>
      <c r="G258" s="118"/>
      <c r="H258" s="120"/>
      <c r="I258" s="121"/>
      <c r="J258" s="124"/>
      <c r="M258" s="172"/>
      <c r="N258" s="172"/>
    </row>
    <row r="259" spans="1:14" ht="15">
      <c r="A259" s="117"/>
      <c r="B259" s="37"/>
      <c r="C259" s="118"/>
      <c r="D259" s="118"/>
      <c r="E259" s="118"/>
      <c r="F259" s="118"/>
      <c r="G259" s="118"/>
      <c r="H259" s="120"/>
      <c r="I259" s="121"/>
      <c r="J259" s="124"/>
      <c r="M259" s="172"/>
      <c r="N259" s="172"/>
    </row>
    <row r="260" spans="1:14" ht="15">
      <c r="A260" s="117"/>
      <c r="B260" s="37"/>
      <c r="C260" s="118"/>
      <c r="D260" s="118"/>
      <c r="E260" s="118"/>
      <c r="F260" s="118"/>
      <c r="G260" s="118"/>
      <c r="H260" s="120"/>
      <c r="I260" s="121"/>
      <c r="J260" s="124"/>
      <c r="M260" s="172"/>
      <c r="N260" s="172"/>
    </row>
    <row r="261" spans="1:14" ht="15">
      <c r="A261" s="117"/>
      <c r="B261" s="37"/>
      <c r="C261" s="118"/>
      <c r="D261" s="118"/>
      <c r="E261" s="118"/>
      <c r="F261" s="118"/>
      <c r="G261" s="118"/>
      <c r="H261" s="120"/>
      <c r="I261" s="121"/>
      <c r="J261" s="124"/>
      <c r="M261" s="172"/>
      <c r="N261" s="172"/>
    </row>
    <row r="262" spans="1:14" ht="15">
      <c r="A262" s="117"/>
      <c r="B262" s="37"/>
      <c r="C262" s="118"/>
      <c r="D262" s="118"/>
      <c r="E262" s="118"/>
      <c r="F262" s="118"/>
      <c r="G262" s="118"/>
      <c r="H262" s="120"/>
      <c r="I262" s="121"/>
      <c r="J262" s="124"/>
      <c r="M262" s="172"/>
      <c r="N262" s="172"/>
    </row>
    <row r="263" spans="1:14" ht="15">
      <c r="A263" s="117"/>
      <c r="B263" s="37"/>
      <c r="C263" s="118"/>
      <c r="D263" s="118"/>
      <c r="E263" s="118"/>
      <c r="F263" s="118"/>
      <c r="G263" s="118"/>
      <c r="H263" s="120"/>
      <c r="I263" s="121"/>
      <c r="J263" s="124"/>
      <c r="M263" s="172"/>
      <c r="N263" s="172"/>
    </row>
    <row r="264" spans="1:14" ht="15">
      <c r="A264" s="117"/>
      <c r="B264" s="37"/>
      <c r="C264" s="118"/>
      <c r="D264" s="118"/>
      <c r="E264" s="118"/>
      <c r="F264" s="118"/>
      <c r="G264" s="118"/>
      <c r="H264" s="120"/>
      <c r="I264" s="121"/>
      <c r="J264" s="124"/>
      <c r="M264" s="172"/>
      <c r="N264" s="172"/>
    </row>
    <row r="265" spans="1:14" ht="15">
      <c r="A265" s="117"/>
      <c r="B265" s="37"/>
      <c r="C265" s="118"/>
      <c r="D265" s="118"/>
      <c r="E265" s="118"/>
      <c r="F265" s="118"/>
      <c r="G265" s="118"/>
      <c r="H265" s="120"/>
      <c r="I265" s="121"/>
      <c r="J265" s="124"/>
      <c r="M265" s="172"/>
      <c r="N265" s="172"/>
    </row>
    <row r="266" spans="1:14" ht="15">
      <c r="A266" s="117"/>
      <c r="B266" s="37"/>
      <c r="C266" s="118"/>
      <c r="D266" s="118"/>
      <c r="E266" s="118"/>
      <c r="F266" s="118"/>
      <c r="G266" s="118"/>
      <c r="H266" s="120"/>
      <c r="I266" s="121"/>
      <c r="J266" s="124"/>
      <c r="M266" s="172"/>
      <c r="N266" s="172"/>
    </row>
    <row r="267" spans="1:14" ht="15">
      <c r="A267" s="117"/>
      <c r="B267" s="37"/>
      <c r="C267" s="118"/>
      <c r="D267" s="118"/>
      <c r="E267" s="118"/>
      <c r="F267" s="118"/>
      <c r="G267" s="118"/>
      <c r="H267" s="120"/>
      <c r="I267" s="121"/>
      <c r="J267" s="124"/>
      <c r="M267" s="172"/>
      <c r="N267" s="172"/>
    </row>
    <row r="268" spans="1:14" ht="15">
      <c r="A268" s="117"/>
      <c r="B268" s="37"/>
      <c r="C268" s="118"/>
      <c r="D268" s="118"/>
      <c r="E268" s="118"/>
      <c r="F268" s="118"/>
      <c r="G268" s="118"/>
      <c r="H268" s="120"/>
      <c r="I268" s="121"/>
      <c r="J268" s="124"/>
      <c r="M268" s="172"/>
      <c r="N268" s="172"/>
    </row>
    <row r="269" spans="1:14" ht="15">
      <c r="A269" s="117"/>
      <c r="B269" s="37"/>
      <c r="C269" s="118"/>
      <c r="D269" s="118"/>
      <c r="E269" s="118"/>
      <c r="F269" s="118"/>
      <c r="G269" s="118"/>
      <c r="H269" s="120"/>
      <c r="I269" s="121"/>
      <c r="J269" s="124"/>
      <c r="M269" s="172"/>
      <c r="N269" s="172"/>
    </row>
    <row r="270" spans="1:14" ht="15">
      <c r="A270" s="117"/>
      <c r="B270" s="37"/>
      <c r="C270" s="118"/>
      <c r="D270" s="118"/>
      <c r="E270" s="118"/>
      <c r="F270" s="118"/>
      <c r="G270" s="118"/>
      <c r="H270" s="120"/>
      <c r="I270" s="121"/>
      <c r="J270" s="124"/>
      <c r="M270" s="172"/>
      <c r="N270" s="172"/>
    </row>
    <row r="271" spans="1:14" ht="15">
      <c r="A271" s="117"/>
      <c r="B271" s="37"/>
      <c r="C271" s="118"/>
      <c r="D271" s="118"/>
      <c r="E271" s="118"/>
      <c r="F271" s="118"/>
      <c r="G271" s="118"/>
      <c r="H271" s="120"/>
      <c r="I271" s="121"/>
      <c r="J271" s="124"/>
      <c r="M271" s="172"/>
      <c r="N271" s="172"/>
    </row>
    <row r="272" spans="1:14" ht="15">
      <c r="A272" s="117"/>
      <c r="B272" s="37"/>
      <c r="C272" s="118"/>
      <c r="D272" s="118"/>
      <c r="E272" s="118"/>
      <c r="F272" s="118"/>
      <c r="G272" s="118"/>
      <c r="H272" s="120"/>
      <c r="I272" s="121"/>
      <c r="J272" s="124"/>
      <c r="M272" s="172"/>
      <c r="N272" s="172"/>
    </row>
    <row r="273" spans="1:14" ht="15">
      <c r="A273" s="117"/>
      <c r="B273" s="37"/>
      <c r="C273" s="118"/>
      <c r="D273" s="118"/>
      <c r="E273" s="118"/>
      <c r="F273" s="118"/>
      <c r="G273" s="118"/>
      <c r="H273" s="120"/>
      <c r="I273" s="121"/>
      <c r="J273" s="124"/>
      <c r="M273" s="172"/>
      <c r="N273" s="172"/>
    </row>
    <row r="274" spans="1:14" ht="15">
      <c r="A274" s="117"/>
      <c r="B274" s="37"/>
      <c r="C274" s="118"/>
      <c r="D274" s="118"/>
      <c r="E274" s="118"/>
      <c r="F274" s="118"/>
      <c r="G274" s="118"/>
      <c r="H274" s="120"/>
      <c r="I274" s="121"/>
      <c r="J274" s="124"/>
      <c r="M274" s="172"/>
      <c r="N274" s="172"/>
    </row>
    <row r="275" spans="1:14" ht="15">
      <c r="A275" s="117"/>
      <c r="B275" s="37"/>
      <c r="C275" s="118"/>
      <c r="D275" s="118"/>
      <c r="E275" s="118"/>
      <c r="F275" s="118"/>
      <c r="G275" s="118"/>
      <c r="H275" s="120"/>
      <c r="I275" s="121"/>
      <c r="J275" s="124"/>
      <c r="M275" s="172"/>
      <c r="N275" s="172"/>
    </row>
    <row r="276" spans="1:14" ht="15">
      <c r="A276" s="117"/>
      <c r="B276" s="37"/>
      <c r="C276" s="118"/>
      <c r="D276" s="118"/>
      <c r="E276" s="118"/>
      <c r="F276" s="118"/>
      <c r="G276" s="118"/>
      <c r="H276" s="120"/>
      <c r="I276" s="121"/>
      <c r="J276" s="124"/>
      <c r="M276" s="172"/>
      <c r="N276" s="172"/>
    </row>
    <row r="277" spans="1:14" ht="15">
      <c r="A277" s="117"/>
      <c r="B277" s="37"/>
      <c r="C277" s="118"/>
      <c r="D277" s="118"/>
      <c r="E277" s="118"/>
      <c r="F277" s="118"/>
      <c r="G277" s="118"/>
      <c r="H277" s="120"/>
      <c r="I277" s="121"/>
      <c r="J277" s="124"/>
      <c r="M277" s="172"/>
      <c r="N277" s="172"/>
    </row>
    <row r="278" spans="1:14" ht="15">
      <c r="A278" s="117"/>
      <c r="B278" s="37"/>
      <c r="C278" s="118"/>
      <c r="D278" s="118"/>
      <c r="E278" s="118"/>
      <c r="F278" s="118"/>
      <c r="G278" s="118"/>
      <c r="H278" s="120"/>
      <c r="I278" s="121"/>
      <c r="J278" s="124"/>
      <c r="M278" s="172"/>
      <c r="N278" s="172"/>
    </row>
    <row r="279" spans="1:14" ht="15">
      <c r="A279" s="117"/>
      <c r="B279" s="37"/>
      <c r="C279" s="118"/>
      <c r="D279" s="118"/>
      <c r="E279" s="118"/>
      <c r="F279" s="118"/>
      <c r="G279" s="118"/>
      <c r="H279" s="120"/>
      <c r="I279" s="121"/>
      <c r="J279" s="124"/>
      <c r="M279" s="172"/>
      <c r="N279" s="172"/>
    </row>
    <row r="280" spans="1:14" ht="15">
      <c r="A280" s="117"/>
      <c r="B280" s="37"/>
      <c r="C280" s="118"/>
      <c r="D280" s="118"/>
      <c r="E280" s="118"/>
      <c r="F280" s="118"/>
      <c r="G280" s="118"/>
      <c r="H280" s="120"/>
      <c r="I280" s="121"/>
      <c r="J280" s="124"/>
      <c r="M280" s="172"/>
      <c r="N280" s="172"/>
    </row>
    <row r="281" spans="1:14" ht="15">
      <c r="A281" s="117"/>
      <c r="B281" s="37"/>
      <c r="C281" s="118"/>
      <c r="D281" s="118"/>
      <c r="E281" s="118"/>
      <c r="F281" s="118"/>
      <c r="G281" s="118"/>
      <c r="H281" s="120"/>
      <c r="I281" s="121"/>
      <c r="J281" s="124"/>
      <c r="M281" s="172"/>
      <c r="N281" s="172"/>
    </row>
    <row r="282" spans="1:14" ht="15">
      <c r="A282" s="117"/>
      <c r="B282" s="37"/>
      <c r="C282" s="118"/>
      <c r="D282" s="118"/>
      <c r="E282" s="118"/>
      <c r="F282" s="118"/>
      <c r="G282" s="118"/>
      <c r="H282" s="120"/>
      <c r="I282" s="121"/>
      <c r="J282" s="124"/>
      <c r="M282" s="172"/>
      <c r="N282" s="172"/>
    </row>
    <row r="283" spans="1:14" ht="15">
      <c r="A283" s="117"/>
      <c r="B283" s="37"/>
      <c r="C283" s="118"/>
      <c r="D283" s="118"/>
      <c r="E283" s="118"/>
      <c r="F283" s="118"/>
      <c r="G283" s="118"/>
      <c r="H283" s="120"/>
      <c r="I283" s="121"/>
      <c r="J283" s="124"/>
      <c r="M283" s="172"/>
      <c r="N283" s="172"/>
    </row>
    <row r="284" spans="1:14" ht="15">
      <c r="A284" s="117"/>
      <c r="B284" s="37"/>
      <c r="C284" s="118"/>
      <c r="D284" s="118"/>
      <c r="E284" s="118"/>
      <c r="F284" s="118"/>
      <c r="G284" s="118"/>
      <c r="H284" s="120"/>
      <c r="I284" s="121"/>
      <c r="J284" s="124"/>
      <c r="M284" s="172"/>
      <c r="N284" s="172"/>
    </row>
    <row r="285" spans="1:14" ht="15">
      <c r="A285" s="117"/>
      <c r="B285" s="37"/>
      <c r="C285" s="118"/>
      <c r="D285" s="118"/>
      <c r="E285" s="118"/>
      <c r="F285" s="118"/>
      <c r="G285" s="118"/>
      <c r="H285" s="120"/>
      <c r="I285" s="121"/>
      <c r="J285" s="124"/>
      <c r="M285" s="172"/>
      <c r="N285" s="172"/>
    </row>
    <row r="286" spans="1:14" ht="15">
      <c r="A286" s="117"/>
      <c r="B286" s="37"/>
      <c r="C286" s="118"/>
      <c r="D286" s="118"/>
      <c r="E286" s="118"/>
      <c r="F286" s="118"/>
      <c r="G286" s="118"/>
      <c r="H286" s="120"/>
      <c r="I286" s="121"/>
      <c r="J286" s="124"/>
      <c r="M286" s="172"/>
      <c r="N286" s="172"/>
    </row>
    <row r="287" spans="1:14" ht="15">
      <c r="A287" s="117"/>
      <c r="B287" s="37"/>
      <c r="C287" s="118"/>
      <c r="D287" s="118"/>
      <c r="E287" s="118"/>
      <c r="F287" s="118"/>
      <c r="G287" s="118"/>
      <c r="H287" s="120"/>
      <c r="I287" s="121"/>
      <c r="J287" s="124"/>
      <c r="M287" s="172"/>
      <c r="N287" s="172"/>
    </row>
    <row r="288" spans="1:14" ht="15">
      <c r="A288" s="117"/>
      <c r="B288" s="37"/>
      <c r="C288" s="118"/>
      <c r="D288" s="118"/>
      <c r="E288" s="118"/>
      <c r="F288" s="118"/>
      <c r="G288" s="118"/>
      <c r="H288" s="120"/>
      <c r="I288" s="121"/>
      <c r="J288" s="124"/>
      <c r="M288" s="172"/>
      <c r="N288" s="172"/>
    </row>
    <row r="289" spans="1:14" ht="15">
      <c r="A289" s="117"/>
      <c r="B289" s="37"/>
      <c r="C289" s="118"/>
      <c r="D289" s="118"/>
      <c r="E289" s="118"/>
      <c r="F289" s="118"/>
      <c r="G289" s="118"/>
      <c r="H289" s="120"/>
      <c r="I289" s="121"/>
      <c r="J289" s="124"/>
      <c r="M289" s="172"/>
      <c r="N289" s="172"/>
    </row>
    <row r="290" spans="1:14" ht="15">
      <c r="A290" s="117"/>
      <c r="B290" s="37"/>
      <c r="C290" s="118"/>
      <c r="D290" s="118"/>
      <c r="E290" s="118"/>
      <c r="F290" s="118"/>
      <c r="G290" s="118"/>
      <c r="H290" s="120"/>
      <c r="I290" s="121"/>
      <c r="J290" s="124"/>
      <c r="M290" s="172"/>
      <c r="N290" s="172"/>
    </row>
    <row r="291" spans="1:14" ht="15">
      <c r="A291" s="117"/>
      <c r="B291" s="37"/>
      <c r="C291" s="118"/>
      <c r="D291" s="118"/>
      <c r="E291" s="118"/>
      <c r="F291" s="118"/>
      <c r="G291" s="118"/>
      <c r="H291" s="120"/>
      <c r="I291" s="121"/>
      <c r="J291" s="124"/>
      <c r="M291" s="172"/>
      <c r="N291" s="172"/>
    </row>
    <row r="292" spans="1:14" ht="15">
      <c r="A292" s="117"/>
      <c r="B292" s="37"/>
      <c r="C292" s="118"/>
      <c r="D292" s="118"/>
      <c r="E292" s="118"/>
      <c r="F292" s="118"/>
      <c r="G292" s="118"/>
      <c r="H292" s="120"/>
      <c r="I292" s="121"/>
      <c r="J292" s="124"/>
      <c r="M292" s="172"/>
      <c r="N292" s="172"/>
    </row>
    <row r="293" spans="1:14" ht="15">
      <c r="A293" s="117"/>
      <c r="B293" s="37"/>
      <c r="C293" s="118"/>
      <c r="D293" s="118"/>
      <c r="E293" s="118"/>
      <c r="F293" s="118"/>
      <c r="G293" s="118"/>
      <c r="H293" s="120"/>
      <c r="I293" s="121"/>
      <c r="J293" s="124"/>
      <c r="M293" s="172"/>
      <c r="N293" s="172"/>
    </row>
    <row r="294" spans="1:14" ht="15">
      <c r="A294" s="117"/>
      <c r="B294" s="37"/>
      <c r="C294" s="118"/>
      <c r="D294" s="118"/>
      <c r="E294" s="118"/>
      <c r="F294" s="118"/>
      <c r="G294" s="118"/>
      <c r="H294" s="120"/>
      <c r="I294" s="121"/>
      <c r="J294" s="124"/>
      <c r="M294" s="172"/>
      <c r="N294" s="172"/>
    </row>
    <row r="295" spans="1:14" ht="15">
      <c r="A295" s="117"/>
      <c r="B295" s="37"/>
      <c r="C295" s="118"/>
      <c r="D295" s="118"/>
      <c r="E295" s="118"/>
      <c r="F295" s="118"/>
      <c r="G295" s="118"/>
      <c r="H295" s="120"/>
      <c r="I295" s="121"/>
      <c r="J295" s="124"/>
      <c r="M295" s="172"/>
      <c r="N295" s="172"/>
    </row>
    <row r="296" spans="1:14" ht="15">
      <c r="A296" s="117"/>
      <c r="B296" s="37"/>
      <c r="C296" s="118"/>
      <c r="D296" s="118"/>
      <c r="E296" s="118"/>
      <c r="F296" s="118"/>
      <c r="G296" s="118"/>
      <c r="H296" s="120"/>
      <c r="I296" s="121"/>
      <c r="J296" s="124"/>
      <c r="M296" s="172"/>
      <c r="N296" s="172"/>
    </row>
    <row r="297" spans="1:14" ht="15">
      <c r="A297" s="117"/>
      <c r="B297" s="37"/>
      <c r="C297" s="118"/>
      <c r="D297" s="118"/>
      <c r="E297" s="118"/>
      <c r="F297" s="118"/>
      <c r="G297" s="118"/>
      <c r="H297" s="120"/>
      <c r="I297" s="121"/>
      <c r="J297" s="124"/>
      <c r="M297" s="172"/>
      <c r="N297" s="172"/>
    </row>
    <row r="298" spans="1:14" ht="15">
      <c r="A298" s="117"/>
      <c r="B298" s="37"/>
      <c r="C298" s="118"/>
      <c r="D298" s="118"/>
      <c r="E298" s="118"/>
      <c r="F298" s="118"/>
      <c r="G298" s="118"/>
      <c r="H298" s="120"/>
      <c r="I298" s="121"/>
      <c r="J298" s="124"/>
      <c r="M298" s="172"/>
      <c r="N298" s="172"/>
    </row>
    <row r="299" spans="1:14" ht="15">
      <c r="A299" s="117"/>
      <c r="B299" s="37"/>
      <c r="C299" s="118"/>
      <c r="D299" s="118"/>
      <c r="E299" s="118"/>
      <c r="F299" s="118"/>
      <c r="G299" s="118"/>
      <c r="H299" s="120"/>
      <c r="I299" s="121"/>
      <c r="J299" s="124"/>
      <c r="M299" s="172"/>
      <c r="N299" s="172"/>
    </row>
    <row r="300" spans="1:14" ht="15">
      <c r="A300" s="117"/>
      <c r="B300" s="37"/>
      <c r="C300" s="118"/>
      <c r="D300" s="118"/>
      <c r="E300" s="118"/>
      <c r="F300" s="118"/>
      <c r="G300" s="118"/>
      <c r="H300" s="120"/>
      <c r="I300" s="121"/>
      <c r="J300" s="124"/>
      <c r="M300" s="172"/>
      <c r="N300" s="172"/>
    </row>
    <row r="301" spans="1:14" ht="15">
      <c r="A301" s="117"/>
      <c r="B301" s="37"/>
      <c r="C301" s="118"/>
      <c r="D301" s="118"/>
      <c r="E301" s="118"/>
      <c r="F301" s="118"/>
      <c r="G301" s="118"/>
      <c r="H301" s="120"/>
      <c r="I301" s="121"/>
      <c r="J301" s="124"/>
      <c r="M301" s="172"/>
      <c r="N301" s="172"/>
    </row>
    <row r="302" spans="1:14" ht="15">
      <c r="A302" s="117"/>
      <c r="B302" s="37"/>
      <c r="C302" s="118"/>
      <c r="D302" s="118"/>
      <c r="E302" s="118"/>
      <c r="F302" s="118"/>
      <c r="G302" s="118"/>
      <c r="H302" s="120"/>
      <c r="I302" s="121"/>
      <c r="J302" s="124"/>
      <c r="M302" s="172"/>
      <c r="N302" s="172"/>
    </row>
    <row r="303" spans="1:14" ht="15">
      <c r="A303" s="117"/>
      <c r="B303" s="37"/>
      <c r="C303" s="118"/>
      <c r="D303" s="118"/>
      <c r="E303" s="118"/>
      <c r="F303" s="118"/>
      <c r="G303" s="118"/>
      <c r="H303" s="120"/>
      <c r="I303" s="121"/>
      <c r="J303" s="124"/>
      <c r="M303" s="172"/>
      <c r="N303" s="172"/>
    </row>
    <row r="304" spans="1:14" ht="15">
      <c r="B304" s="37"/>
      <c r="C304" s="118"/>
      <c r="D304" s="118"/>
      <c r="E304" s="118"/>
      <c r="F304" s="118"/>
      <c r="G304" s="118"/>
      <c r="H304" s="120"/>
      <c r="I304" s="121"/>
      <c r="J304" s="124"/>
      <c r="M304" s="172"/>
      <c r="N304" s="172"/>
    </row>
    <row r="305" spans="2:14" ht="15">
      <c r="B305" s="37"/>
      <c r="C305" s="118"/>
      <c r="D305" s="118"/>
      <c r="E305" s="118"/>
      <c r="F305" s="118"/>
      <c r="G305" s="118"/>
      <c r="H305" s="120"/>
      <c r="I305" s="121"/>
      <c r="J305" s="124"/>
      <c r="M305" s="172"/>
      <c r="N305" s="172"/>
    </row>
    <row r="306" spans="2:14" ht="15">
      <c r="B306" s="37"/>
      <c r="C306" s="118"/>
      <c r="D306" s="118"/>
      <c r="E306" s="118"/>
      <c r="F306" s="118"/>
      <c r="G306" s="118"/>
      <c r="H306" s="120"/>
      <c r="I306" s="121"/>
      <c r="J306" s="124"/>
      <c r="M306" s="172"/>
      <c r="N306" s="172"/>
    </row>
    <row r="307" spans="2:14" ht="15">
      <c r="B307" s="37"/>
      <c r="C307" s="118"/>
      <c r="D307" s="118"/>
      <c r="E307" s="118"/>
      <c r="F307" s="118"/>
      <c r="G307" s="118"/>
      <c r="H307" s="120"/>
      <c r="I307" s="121"/>
      <c r="J307" s="124"/>
      <c r="M307" s="172"/>
      <c r="N307" s="172"/>
    </row>
    <row r="308" spans="2:14" ht="15">
      <c r="B308" s="37"/>
      <c r="C308" s="118"/>
      <c r="D308" s="118"/>
      <c r="E308" s="118"/>
      <c r="F308" s="118"/>
      <c r="G308" s="118"/>
      <c r="H308" s="120"/>
      <c r="I308" s="121"/>
      <c r="J308" s="124"/>
      <c r="M308" s="172"/>
      <c r="N308" s="172"/>
    </row>
    <row r="309" spans="2:14" ht="15">
      <c r="B309" s="37"/>
      <c r="C309" s="118"/>
      <c r="D309" s="118"/>
      <c r="E309" s="118"/>
      <c r="F309" s="118"/>
      <c r="G309" s="118"/>
      <c r="H309" s="120"/>
      <c r="I309" s="121"/>
      <c r="J309" s="124"/>
      <c r="M309" s="172"/>
      <c r="N309" s="172"/>
    </row>
    <row r="310" spans="2:14" ht="15">
      <c r="B310" s="37"/>
      <c r="C310" s="118"/>
      <c r="D310" s="118"/>
      <c r="E310" s="118"/>
      <c r="F310" s="118"/>
      <c r="G310" s="118"/>
      <c r="H310" s="120"/>
      <c r="I310" s="121"/>
      <c r="J310" s="124"/>
      <c r="M310" s="172"/>
      <c r="N310" s="172"/>
    </row>
    <row r="311" spans="2:14" ht="15">
      <c r="B311" s="37"/>
      <c r="C311" s="118"/>
      <c r="D311" s="118"/>
      <c r="E311" s="118"/>
      <c r="F311" s="118"/>
      <c r="G311" s="118"/>
      <c r="H311" s="120"/>
      <c r="I311" s="121"/>
      <c r="J311" s="124"/>
      <c r="M311" s="172"/>
      <c r="N311" s="172"/>
    </row>
    <row r="312" spans="2:14" ht="15">
      <c r="B312" s="37"/>
      <c r="C312" s="118"/>
      <c r="D312" s="118"/>
      <c r="E312" s="118"/>
      <c r="F312" s="118"/>
      <c r="G312" s="118"/>
      <c r="H312" s="120"/>
      <c r="I312" s="121"/>
      <c r="J312" s="124"/>
      <c r="M312" s="172"/>
      <c r="N312" s="172"/>
    </row>
    <row r="313" spans="2:14" ht="15">
      <c r="B313" s="37"/>
      <c r="C313" s="118"/>
      <c r="D313" s="118"/>
      <c r="E313" s="118"/>
      <c r="F313" s="118"/>
      <c r="G313" s="118"/>
      <c r="H313" s="120"/>
      <c r="I313" s="121"/>
      <c r="J313" s="124"/>
      <c r="M313" s="172"/>
      <c r="N313" s="172"/>
    </row>
    <row r="314" spans="2:14" ht="15">
      <c r="B314" s="37"/>
      <c r="C314" s="118"/>
      <c r="D314" s="118"/>
      <c r="E314" s="118"/>
      <c r="F314" s="118"/>
      <c r="G314" s="118"/>
      <c r="H314" s="120"/>
      <c r="I314" s="121"/>
      <c r="J314" s="124"/>
      <c r="M314" s="172"/>
      <c r="N314" s="172"/>
    </row>
    <row r="315" spans="2:14" ht="15">
      <c r="B315" s="37"/>
      <c r="C315" s="118"/>
      <c r="D315" s="118"/>
      <c r="E315" s="118"/>
      <c r="F315" s="118"/>
      <c r="G315" s="118"/>
      <c r="H315" s="120"/>
      <c r="I315" s="121"/>
      <c r="J315" s="124"/>
      <c r="M315" s="172"/>
      <c r="N315" s="172"/>
    </row>
    <row r="316" spans="2:14" ht="15">
      <c r="B316" s="37"/>
      <c r="C316" s="118"/>
      <c r="D316" s="118"/>
      <c r="E316" s="118"/>
      <c r="F316" s="118"/>
      <c r="G316" s="118"/>
      <c r="H316" s="120"/>
      <c r="I316" s="121"/>
      <c r="J316" s="124"/>
      <c r="M316" s="172"/>
      <c r="N316" s="172"/>
    </row>
    <row r="317" spans="2:14" ht="15">
      <c r="B317" s="37"/>
      <c r="C317" s="118"/>
      <c r="D317" s="118"/>
      <c r="E317" s="118"/>
      <c r="F317" s="118"/>
      <c r="G317" s="118"/>
      <c r="H317" s="120"/>
      <c r="I317" s="121"/>
      <c r="J317" s="124"/>
      <c r="M317" s="172"/>
      <c r="N317" s="172"/>
    </row>
    <row r="318" spans="2:14" ht="15">
      <c r="B318" s="37"/>
      <c r="C318" s="118"/>
      <c r="D318" s="118"/>
      <c r="E318" s="118"/>
      <c r="F318" s="118"/>
      <c r="G318" s="118"/>
      <c r="H318" s="120"/>
      <c r="I318" s="121"/>
      <c r="J318" s="124"/>
      <c r="M318" s="172"/>
      <c r="N318" s="172"/>
    </row>
    <row r="319" spans="2:14" ht="15">
      <c r="B319" s="37"/>
      <c r="C319" s="118"/>
      <c r="D319" s="118"/>
      <c r="E319" s="118"/>
      <c r="F319" s="118"/>
      <c r="G319" s="118"/>
      <c r="H319" s="120"/>
      <c r="I319" s="121"/>
      <c r="J319" s="124"/>
      <c r="M319" s="172"/>
      <c r="N319" s="172"/>
    </row>
    <row r="320" spans="2:14" ht="15">
      <c r="B320" s="37"/>
      <c r="C320" s="118"/>
      <c r="D320" s="118"/>
      <c r="E320" s="118"/>
      <c r="F320" s="118"/>
      <c r="G320" s="118"/>
      <c r="H320" s="120"/>
      <c r="I320" s="121"/>
      <c r="J320" s="124"/>
      <c r="M320" s="172"/>
      <c r="N320" s="172"/>
    </row>
    <row r="321" spans="2:14" ht="15">
      <c r="B321" s="37"/>
      <c r="C321" s="118"/>
      <c r="D321" s="118"/>
      <c r="E321" s="118"/>
      <c r="F321" s="118"/>
      <c r="G321" s="118"/>
      <c r="H321" s="120"/>
      <c r="I321" s="121"/>
      <c r="J321" s="124"/>
      <c r="M321" s="172"/>
      <c r="N321" s="172"/>
    </row>
    <row r="322" spans="2:14" ht="15">
      <c r="B322" s="37"/>
      <c r="C322" s="118"/>
      <c r="D322" s="118"/>
      <c r="E322" s="118"/>
      <c r="F322" s="118"/>
      <c r="G322" s="118"/>
      <c r="H322" s="120"/>
      <c r="I322" s="121"/>
      <c r="J322" s="124"/>
      <c r="M322" s="172"/>
      <c r="N322" s="172"/>
    </row>
    <row r="323" spans="2:14" ht="15">
      <c r="B323" s="37"/>
      <c r="C323" s="118"/>
      <c r="D323" s="118"/>
      <c r="E323" s="118"/>
      <c r="F323" s="118"/>
      <c r="G323" s="118"/>
      <c r="H323" s="120"/>
      <c r="I323" s="121"/>
      <c r="J323" s="124"/>
      <c r="M323" s="172"/>
      <c r="N323" s="172"/>
    </row>
    <row r="324" spans="2:14" ht="15">
      <c r="B324" s="37"/>
      <c r="C324" s="118"/>
      <c r="D324" s="118"/>
      <c r="E324" s="118"/>
      <c r="F324" s="118"/>
      <c r="G324" s="118"/>
      <c r="H324" s="120"/>
      <c r="I324" s="121"/>
      <c r="J324" s="124"/>
      <c r="M324" s="172"/>
      <c r="N324" s="172"/>
    </row>
    <row r="325" spans="2:14" ht="15">
      <c r="B325" s="37"/>
      <c r="C325" s="118"/>
      <c r="D325" s="118"/>
      <c r="E325" s="118"/>
      <c r="F325" s="118"/>
      <c r="G325" s="118"/>
      <c r="H325" s="120"/>
      <c r="I325" s="121"/>
      <c r="J325" s="124"/>
      <c r="M325" s="172"/>
      <c r="N325" s="172"/>
    </row>
    <row r="326" spans="2:14" ht="15">
      <c r="B326" s="37"/>
      <c r="C326" s="118"/>
      <c r="D326" s="118"/>
      <c r="E326" s="118"/>
      <c r="F326" s="118"/>
      <c r="G326" s="118"/>
      <c r="H326" s="120"/>
      <c r="I326" s="121"/>
      <c r="J326" s="124"/>
      <c r="M326" s="172"/>
      <c r="N326" s="172"/>
    </row>
    <row r="327" spans="2:14" ht="15">
      <c r="B327" s="37"/>
      <c r="C327" s="118"/>
      <c r="D327" s="118"/>
      <c r="E327" s="118"/>
      <c r="F327" s="118"/>
      <c r="G327" s="118"/>
      <c r="H327" s="120"/>
      <c r="I327" s="121"/>
      <c r="J327" s="124"/>
      <c r="M327" s="172"/>
      <c r="N327" s="172"/>
    </row>
    <row r="328" spans="2:14" ht="15">
      <c r="B328" s="37"/>
      <c r="C328" s="118"/>
      <c r="D328" s="118"/>
      <c r="E328" s="118"/>
      <c r="F328" s="118"/>
      <c r="G328" s="118"/>
      <c r="H328" s="120"/>
      <c r="I328" s="121"/>
      <c r="J328" s="124"/>
      <c r="M328" s="172"/>
      <c r="N328" s="172"/>
    </row>
    <row r="329" spans="2:14" ht="15">
      <c r="B329" s="37"/>
      <c r="C329" s="118"/>
      <c r="D329" s="118"/>
      <c r="E329" s="118"/>
      <c r="F329" s="118"/>
      <c r="G329" s="118"/>
      <c r="H329" s="120"/>
      <c r="I329" s="121"/>
      <c r="J329" s="124"/>
      <c r="M329" s="172"/>
      <c r="N329" s="172"/>
    </row>
    <row r="330" spans="2:14" ht="15">
      <c r="B330" s="37"/>
      <c r="C330" s="118"/>
      <c r="D330" s="118"/>
      <c r="E330" s="118"/>
      <c r="F330" s="118"/>
      <c r="G330" s="118"/>
      <c r="H330" s="120"/>
      <c r="I330" s="121"/>
      <c r="J330" s="124"/>
      <c r="M330" s="172"/>
      <c r="N330" s="172"/>
    </row>
    <row r="331" spans="2:14" ht="15">
      <c r="B331" s="37"/>
      <c r="C331" s="118"/>
      <c r="D331" s="118"/>
      <c r="E331" s="118"/>
      <c r="F331" s="118"/>
      <c r="G331" s="118"/>
      <c r="H331" s="120"/>
      <c r="I331" s="121"/>
      <c r="J331" s="124"/>
      <c r="M331" s="172"/>
      <c r="N331" s="172"/>
    </row>
    <row r="332" spans="2:14" ht="15">
      <c r="B332" s="37"/>
      <c r="C332" s="118"/>
      <c r="D332" s="118"/>
      <c r="E332" s="118"/>
      <c r="F332" s="118"/>
      <c r="G332" s="118"/>
      <c r="H332" s="120"/>
      <c r="I332" s="121"/>
      <c r="J332" s="124"/>
      <c r="M332" s="172"/>
      <c r="N332" s="172"/>
    </row>
    <row r="333" spans="2:14" ht="15">
      <c r="B333" s="37"/>
      <c r="C333" s="118"/>
      <c r="D333" s="118"/>
      <c r="E333" s="118"/>
      <c r="F333" s="118"/>
      <c r="G333" s="118"/>
      <c r="H333" s="120"/>
      <c r="I333" s="121"/>
      <c r="J333" s="124"/>
      <c r="M333" s="172"/>
      <c r="N333" s="172"/>
    </row>
    <row r="334" spans="2:14" ht="15">
      <c r="B334" s="37"/>
      <c r="C334" s="118"/>
      <c r="D334" s="118"/>
      <c r="E334" s="118"/>
      <c r="F334" s="118"/>
      <c r="G334" s="118"/>
      <c r="H334" s="120"/>
      <c r="I334" s="121"/>
      <c r="J334" s="124"/>
      <c r="M334" s="172"/>
      <c r="N334" s="172"/>
    </row>
    <row r="335" spans="2:14" ht="15">
      <c r="B335" s="37"/>
      <c r="C335" s="118"/>
      <c r="D335" s="118"/>
      <c r="E335" s="118"/>
      <c r="F335" s="118"/>
      <c r="G335" s="118"/>
      <c r="H335" s="120"/>
      <c r="I335" s="121"/>
      <c r="J335" s="124"/>
      <c r="M335" s="172"/>
      <c r="N335" s="172"/>
    </row>
    <row r="336" spans="2:14" ht="15">
      <c r="B336" s="37"/>
      <c r="C336" s="118"/>
      <c r="D336" s="118"/>
      <c r="E336" s="118"/>
      <c r="F336" s="118"/>
      <c r="G336" s="118"/>
      <c r="H336" s="120"/>
      <c r="I336" s="121"/>
      <c r="J336" s="124"/>
      <c r="M336" s="172"/>
      <c r="N336" s="172"/>
    </row>
    <row r="337" spans="2:14" ht="15">
      <c r="B337" s="37"/>
      <c r="C337" s="118"/>
      <c r="D337" s="118"/>
      <c r="E337" s="118"/>
      <c r="F337" s="118"/>
      <c r="G337" s="118"/>
      <c r="H337" s="120"/>
      <c r="I337" s="121"/>
      <c r="J337" s="124"/>
      <c r="M337" s="172"/>
      <c r="N337" s="172"/>
    </row>
    <row r="338" spans="2:14" ht="15">
      <c r="B338" s="37"/>
      <c r="C338" s="118"/>
      <c r="D338" s="118"/>
      <c r="E338" s="118"/>
      <c r="F338" s="118"/>
      <c r="G338" s="118"/>
      <c r="H338" s="120"/>
      <c r="I338" s="121"/>
      <c r="J338" s="124"/>
      <c r="M338" s="172"/>
      <c r="N338" s="172"/>
    </row>
    <row r="339" spans="2:14" ht="15">
      <c r="B339" s="37"/>
      <c r="C339" s="118"/>
      <c r="D339" s="118"/>
      <c r="E339" s="118"/>
      <c r="F339" s="118"/>
      <c r="G339" s="118"/>
      <c r="H339" s="120"/>
      <c r="I339" s="121"/>
      <c r="J339" s="124"/>
      <c r="M339" s="172"/>
      <c r="N339" s="172"/>
    </row>
    <row r="340" spans="2:14" ht="15">
      <c r="B340" s="37"/>
      <c r="C340" s="118"/>
      <c r="D340" s="118"/>
      <c r="E340" s="118"/>
      <c r="F340" s="118"/>
      <c r="G340" s="118"/>
      <c r="H340" s="120"/>
      <c r="I340" s="121"/>
      <c r="J340" s="124"/>
      <c r="M340" s="172"/>
      <c r="N340" s="172"/>
    </row>
    <row r="341" spans="2:14" ht="15">
      <c r="B341" s="37"/>
      <c r="C341" s="118"/>
      <c r="D341" s="118"/>
      <c r="E341" s="118"/>
      <c r="F341" s="118"/>
      <c r="G341" s="118"/>
      <c r="H341" s="120"/>
      <c r="I341" s="121"/>
      <c r="J341" s="124"/>
      <c r="M341" s="172"/>
      <c r="N341" s="172"/>
    </row>
    <row r="342" spans="2:14" ht="15">
      <c r="B342" s="37"/>
      <c r="C342" s="118"/>
      <c r="D342" s="118"/>
      <c r="E342" s="118"/>
      <c r="F342" s="118"/>
      <c r="G342" s="118"/>
      <c r="H342" s="120"/>
      <c r="I342" s="121"/>
      <c r="J342" s="124"/>
      <c r="M342" s="172"/>
      <c r="N342" s="172"/>
    </row>
    <row r="343" spans="2:14" ht="15">
      <c r="B343" s="37"/>
      <c r="C343" s="118"/>
      <c r="D343" s="118"/>
      <c r="E343" s="118"/>
      <c r="F343" s="118"/>
      <c r="G343" s="118"/>
      <c r="H343" s="120"/>
      <c r="I343" s="121"/>
      <c r="J343" s="124"/>
      <c r="M343" s="172"/>
      <c r="N343" s="172"/>
    </row>
    <row r="344" spans="2:14" ht="15">
      <c r="B344" s="37"/>
      <c r="C344" s="118"/>
      <c r="D344" s="118"/>
      <c r="E344" s="118"/>
      <c r="F344" s="118"/>
      <c r="G344" s="118"/>
      <c r="H344" s="120"/>
      <c r="I344" s="121"/>
      <c r="J344" s="124"/>
      <c r="M344" s="172"/>
      <c r="N344" s="172"/>
    </row>
    <row r="345" spans="2:14" ht="15">
      <c r="B345" s="37"/>
      <c r="C345" s="118"/>
      <c r="D345" s="118"/>
      <c r="E345" s="118"/>
      <c r="F345" s="118"/>
      <c r="G345" s="118"/>
      <c r="H345" s="120"/>
      <c r="I345" s="121"/>
      <c r="J345" s="124"/>
      <c r="M345" s="172"/>
      <c r="N345" s="172"/>
    </row>
    <row r="346" spans="2:14" ht="15">
      <c r="B346" s="37"/>
      <c r="C346" s="118"/>
      <c r="D346" s="118"/>
      <c r="E346" s="118"/>
      <c r="F346" s="118"/>
      <c r="G346" s="118"/>
      <c r="H346" s="120"/>
      <c r="I346" s="121"/>
      <c r="J346" s="124"/>
      <c r="M346" s="172"/>
      <c r="N346" s="172"/>
    </row>
    <row r="347" spans="2:14" ht="15">
      <c r="B347" s="37"/>
      <c r="C347" s="118"/>
      <c r="D347" s="118"/>
      <c r="E347" s="118"/>
      <c r="F347" s="118"/>
      <c r="G347" s="118"/>
      <c r="H347" s="120"/>
      <c r="I347" s="121"/>
      <c r="J347" s="124"/>
      <c r="M347" s="172"/>
      <c r="N347" s="172"/>
    </row>
    <row r="348" spans="2:14" ht="15">
      <c r="B348" s="37"/>
      <c r="C348" s="118"/>
      <c r="D348" s="118"/>
      <c r="E348" s="118"/>
      <c r="F348" s="118"/>
      <c r="G348" s="118"/>
      <c r="H348" s="120"/>
      <c r="I348" s="121"/>
      <c r="J348" s="124"/>
      <c r="M348" s="172"/>
      <c r="N348" s="172"/>
    </row>
    <row r="349" spans="2:14" ht="15">
      <c r="B349" s="37"/>
      <c r="C349" s="118"/>
      <c r="D349" s="118"/>
      <c r="E349" s="118"/>
      <c r="F349" s="118"/>
      <c r="G349" s="118"/>
      <c r="H349" s="120"/>
      <c r="I349" s="121"/>
      <c r="J349" s="124"/>
      <c r="M349" s="172"/>
      <c r="N349" s="172"/>
    </row>
    <row r="350" spans="2:14" ht="15">
      <c r="B350" s="37"/>
      <c r="C350" s="118"/>
      <c r="D350" s="118"/>
      <c r="E350" s="118"/>
      <c r="F350" s="118"/>
      <c r="G350" s="118"/>
      <c r="H350" s="120"/>
      <c r="I350" s="121"/>
      <c r="J350" s="124"/>
      <c r="M350" s="172"/>
      <c r="N350" s="172"/>
    </row>
    <row r="351" spans="2:14" ht="15">
      <c r="B351" s="37"/>
      <c r="C351" s="118"/>
      <c r="D351" s="118"/>
      <c r="E351" s="118"/>
      <c r="F351" s="118"/>
      <c r="G351" s="118"/>
      <c r="H351" s="120"/>
      <c r="I351" s="121"/>
      <c r="J351" s="124"/>
      <c r="M351" s="172"/>
      <c r="N351" s="172"/>
    </row>
    <row r="352" spans="2:14" ht="15">
      <c r="B352" s="37"/>
      <c r="C352" s="118"/>
      <c r="D352" s="118"/>
      <c r="E352" s="118"/>
      <c r="F352" s="118"/>
      <c r="G352" s="118"/>
      <c r="H352" s="120"/>
      <c r="I352" s="121"/>
      <c r="J352" s="124"/>
      <c r="M352" s="172"/>
      <c r="N352" s="172"/>
    </row>
    <row r="353" spans="2:14" ht="15">
      <c r="B353" s="37"/>
      <c r="C353" s="118"/>
      <c r="D353" s="118"/>
      <c r="E353" s="118"/>
      <c r="F353" s="118"/>
      <c r="G353" s="118"/>
      <c r="H353" s="120"/>
      <c r="I353" s="121"/>
      <c r="J353" s="124"/>
      <c r="M353" s="172"/>
      <c r="N353" s="172"/>
    </row>
    <row r="354" spans="2:14" ht="15">
      <c r="B354" s="37"/>
      <c r="C354" s="118"/>
      <c r="D354" s="118"/>
      <c r="E354" s="118"/>
      <c r="F354" s="118"/>
      <c r="G354" s="118"/>
      <c r="H354" s="120"/>
      <c r="I354" s="121"/>
      <c r="J354" s="124"/>
      <c r="M354" s="172"/>
      <c r="N354" s="172"/>
    </row>
    <row r="355" spans="2:14" ht="15">
      <c r="B355" s="37"/>
      <c r="C355" s="118"/>
      <c r="D355" s="118"/>
      <c r="E355" s="118"/>
      <c r="F355" s="118"/>
      <c r="G355" s="118"/>
      <c r="H355" s="120"/>
      <c r="I355" s="121"/>
      <c r="J355" s="124"/>
      <c r="M355" s="172"/>
      <c r="N355" s="172"/>
    </row>
    <row r="356" spans="2:14" ht="15">
      <c r="B356" s="37"/>
      <c r="C356" s="118"/>
      <c r="D356" s="118"/>
      <c r="E356" s="118"/>
      <c r="F356" s="118"/>
      <c r="G356" s="118"/>
      <c r="H356" s="120"/>
      <c r="I356" s="121"/>
      <c r="J356" s="124"/>
      <c r="M356" s="172"/>
      <c r="N356" s="172"/>
    </row>
    <row r="357" spans="2:14" ht="15">
      <c r="B357" s="37"/>
      <c r="C357" s="118"/>
      <c r="D357" s="118"/>
      <c r="E357" s="118"/>
      <c r="F357" s="118"/>
      <c r="G357" s="118"/>
      <c r="H357" s="120"/>
      <c r="I357" s="121"/>
      <c r="J357" s="124"/>
      <c r="M357" s="172"/>
      <c r="N357" s="172"/>
    </row>
    <row r="358" spans="2:14" ht="15">
      <c r="B358" s="37"/>
      <c r="C358" s="118"/>
      <c r="D358" s="118"/>
      <c r="E358" s="118"/>
      <c r="F358" s="118"/>
      <c r="G358" s="118"/>
      <c r="H358" s="120"/>
      <c r="I358" s="121"/>
      <c r="J358" s="124"/>
      <c r="M358" s="172"/>
      <c r="N358" s="172"/>
    </row>
    <row r="359" spans="2:14" ht="15">
      <c r="B359" s="37"/>
      <c r="C359" s="118"/>
      <c r="D359" s="118"/>
      <c r="E359" s="118"/>
      <c r="F359" s="118"/>
      <c r="G359" s="118"/>
      <c r="H359" s="120"/>
      <c r="I359" s="121"/>
      <c r="J359" s="124"/>
      <c r="M359" s="172"/>
      <c r="N359" s="172"/>
    </row>
    <row r="360" spans="2:14" ht="15">
      <c r="B360" s="37"/>
      <c r="C360" s="118"/>
      <c r="D360" s="118"/>
      <c r="E360" s="118"/>
      <c r="F360" s="118"/>
      <c r="G360" s="118"/>
      <c r="H360" s="120"/>
      <c r="I360" s="121"/>
      <c r="J360" s="124"/>
      <c r="M360" s="172"/>
      <c r="N360" s="172"/>
    </row>
    <row r="361" spans="2:14" ht="15">
      <c r="B361" s="37"/>
      <c r="C361" s="118"/>
      <c r="D361" s="118"/>
      <c r="E361" s="118"/>
      <c r="F361" s="118"/>
      <c r="G361" s="118"/>
      <c r="H361" s="120"/>
      <c r="I361" s="121"/>
      <c r="J361" s="124"/>
      <c r="M361" s="172"/>
      <c r="N361" s="172"/>
    </row>
    <row r="362" spans="2:14" ht="15">
      <c r="B362" s="37"/>
      <c r="C362" s="118"/>
      <c r="D362" s="118"/>
      <c r="E362" s="118"/>
      <c r="F362" s="118"/>
      <c r="G362" s="118"/>
      <c r="H362" s="120"/>
      <c r="I362" s="121"/>
      <c r="J362" s="124"/>
      <c r="M362" s="172"/>
      <c r="N362" s="172"/>
    </row>
    <row r="363" spans="2:14" ht="15">
      <c r="B363" s="37"/>
      <c r="C363" s="118"/>
      <c r="D363" s="118"/>
      <c r="E363" s="118"/>
      <c r="F363" s="118"/>
      <c r="G363" s="118"/>
      <c r="H363" s="120"/>
      <c r="I363" s="121"/>
      <c r="J363" s="124"/>
      <c r="M363" s="172"/>
      <c r="N363" s="172"/>
    </row>
    <row r="364" spans="2:14" ht="15">
      <c r="B364" s="37"/>
      <c r="C364" s="118"/>
      <c r="D364" s="118"/>
      <c r="E364" s="118"/>
      <c r="F364" s="118"/>
      <c r="G364" s="118"/>
      <c r="H364" s="120"/>
      <c r="I364" s="121"/>
      <c r="J364" s="124"/>
      <c r="M364" s="172"/>
      <c r="N364" s="172"/>
    </row>
    <row r="365" spans="2:14" ht="15">
      <c r="C365" s="118"/>
      <c r="D365" s="118"/>
      <c r="E365" s="118"/>
      <c r="F365" s="118"/>
      <c r="G365" s="118"/>
      <c r="H365" s="120"/>
      <c r="I365" s="121"/>
      <c r="J365" s="124"/>
      <c r="M365" s="172"/>
      <c r="N365" s="172"/>
    </row>
    <row r="366" spans="2:14">
      <c r="C366" s="42"/>
      <c r="D366" s="42"/>
      <c r="E366" s="42"/>
      <c r="F366" s="42"/>
      <c r="G366" s="42"/>
      <c r="H366" s="23"/>
      <c r="I366" s="44"/>
      <c r="M366" s="180"/>
      <c r="N366" s="180"/>
    </row>
    <row r="367" spans="2:14">
      <c r="H367" s="23"/>
      <c r="I367" s="44"/>
      <c r="M367" s="180"/>
      <c r="N367" s="180"/>
    </row>
    <row r="368" spans="2:14">
      <c r="I368" s="44"/>
    </row>
  </sheetData>
  <conditionalFormatting sqref="A1:A1048576">
    <cfRule type="containsText" dxfId="1" priority="2" operator="containsText" text="Nein">
      <formula>NOT(ISERROR(SEARCH("Nein",A1)))</formula>
    </cfRule>
  </conditionalFormatting>
  <hyperlinks>
    <hyperlink ref="K3" r:id="rId1" xr:uid="{B96832E3-526F-4460-8FA9-8AD3144ABCA0}"/>
    <hyperlink ref="K4" r:id="rId2" xr:uid="{AA2D97A2-D040-4E8B-BE8F-E2680E1374EE}"/>
    <hyperlink ref="K5" r:id="rId3" xr:uid="{A90E19ED-0E19-4945-99C0-80150A493AA4}"/>
    <hyperlink ref="K6" r:id="rId4" xr:uid="{34588EA1-6376-41D7-99AB-70DC00BD4BCB}"/>
    <hyperlink ref="K7" r:id="rId5" xr:uid="{DB27B757-AA3E-4EA3-9EBF-8FAF80CD35D5}"/>
    <hyperlink ref="K8" r:id="rId6" xr:uid="{3382495A-ADEA-4A51-84A4-0A5DBB4F1ED5}"/>
    <hyperlink ref="K9" r:id="rId7" xr:uid="{73D1D56F-3256-48A8-AC79-7E18DE7E3B37}"/>
    <hyperlink ref="K10" r:id="rId8" xr:uid="{55FB5005-3E0D-4917-B210-69815F67D9FD}"/>
    <hyperlink ref="K11" r:id="rId9" xr:uid="{E187279D-CB71-43C7-9786-8490351D85BD}"/>
    <hyperlink ref="K12" r:id="rId10" xr:uid="{1D08085B-2706-47AC-8346-1424F1640708}"/>
    <hyperlink ref="K13" r:id="rId11" xr:uid="{8A5EDBC8-C1EE-4319-AE44-EF27F2C6BD97}"/>
    <hyperlink ref="K14" r:id="rId12" xr:uid="{1A01BFDC-48D3-4E60-A53D-FD53536C9875}"/>
    <hyperlink ref="K15" r:id="rId13" xr:uid="{298D33AA-F2A2-439B-8694-D00A93DDD2C6}"/>
    <hyperlink ref="K16" r:id="rId14" xr:uid="{BEEC4A50-E135-4CCA-9C40-8A966588D63F}"/>
    <hyperlink ref="K19" r:id="rId15" xr:uid="{E39311A0-F074-4295-B435-FFA9594395F4}"/>
    <hyperlink ref="K18" r:id="rId16" xr:uid="{D4336271-7F11-47C2-9C27-3EB22CFF6A05}"/>
    <hyperlink ref="K21" r:id="rId17" xr:uid="{92DBC050-8008-453C-97AD-07EC5CCC4755}"/>
    <hyperlink ref="K20" r:id="rId18" xr:uid="{E3DF8E1A-E165-4514-9B57-3766AE5979DC}"/>
    <hyperlink ref="K22" r:id="rId19" location="position,id=12675e30-1f99-4a09-b0ef-9fff93ff5b09" xr:uid="{46BB8C88-D912-449D-912D-8B518A127B8E}"/>
    <hyperlink ref="K25" r:id="rId20" xr:uid="{F02DAF66-372D-44E0-A81E-CD49CC46AE81}"/>
    <hyperlink ref="K26" r:id="rId21" xr:uid="{D76AEF8B-5AE6-4401-8463-B15F34D32EA1}"/>
    <hyperlink ref="K27" r:id="rId22" xr:uid="{412FCA11-9217-4182-9E1C-076D31800E16}"/>
    <hyperlink ref="K28" r:id="rId23" xr:uid="{AE217614-6F91-49CC-A8FE-B2486B85543A}"/>
    <hyperlink ref="K29" r:id="rId24" display="https://wir-vs.de/karriere/leitung-abteilung-tourismus-und-freizeit-2/" xr:uid="{222130FA-A8BC-43D7-98D5-6CA0BC01705B}"/>
    <hyperlink ref="K30" r:id="rId25" xr:uid="{C3A465B7-29F0-4B42-8EAA-8A17017F7B34}"/>
    <hyperlink ref="K31" r:id="rId26" location="c41809" xr:uid="{204E8A77-4FAA-427D-9FA2-935CB55807CF}"/>
    <hyperlink ref="K32" r:id="rId27" xr:uid="{22949197-007F-4D51-95C1-1EC74FC7778F}"/>
    <hyperlink ref="G33" r:id="rId28" xr:uid="{5263D0B1-DC0F-45C4-8DB1-7B7E5F78156F}"/>
    <hyperlink ref="K43" r:id="rId29" xr:uid="{DF98A065-01FE-4138-8EB7-8131053ED720}"/>
    <hyperlink ref="K44" r:id="rId30" xr:uid="{4D57062E-55B7-42C9-81DA-EC55D495E0F9}"/>
    <hyperlink ref="K45" r:id="rId31" xr:uid="{07F41E98-8848-4921-B052-823CF3AD09C0}"/>
    <hyperlink ref="K46" r:id="rId32" xr:uid="{0A6412B9-1254-47E6-8AB7-5A468F8A314B}"/>
    <hyperlink ref="K47" r:id="rId33" xr:uid="{86D3FAE6-107C-464A-AA19-CBA444D6370B}"/>
    <hyperlink ref="K48" r:id="rId34" xr:uid="{FDF8CEFB-0EB9-46E0-ADE5-E1ED7D538A3E}"/>
    <hyperlink ref="K49" r:id="rId35" xr:uid="{18A020E1-FD87-4D8B-8CCF-82B67B68FA2A}"/>
    <hyperlink ref="K50" r:id="rId36" xr:uid="{72B5950C-D95D-4A44-818E-C8611B0071AD}"/>
    <hyperlink ref="K51" r:id="rId37" xr:uid="{15D49EC3-A81A-409F-81F6-BF20CB3013A2}"/>
    <hyperlink ref="K52" r:id="rId38" location="position,id=3b29d437-d9c0-4c98-97f5-b365e84800d3,popup=y" xr:uid="{3F4BECFA-F8EC-4F4F-A9D0-26BE3080CF74}"/>
    <hyperlink ref="K53" r:id="rId39" xr:uid="{F66EDB6B-A468-43FA-AF61-F545307EA8C0}"/>
    <hyperlink ref="K54" r:id="rId40" xr:uid="{88B72C1E-41E5-4D28-B0A9-076C4DDCD098}"/>
    <hyperlink ref="K55" r:id="rId41" xr:uid="{6E1060DB-AEFF-4F3D-B7CF-6AE1C4C2E286}"/>
    <hyperlink ref="K56" r:id="rId42" xr:uid="{B84149E8-6464-43A7-B4AA-9ADED30B0B31}"/>
    <hyperlink ref="K57" r:id="rId43" xr:uid="{3799BDAB-21CF-4285-B1EE-A29A145A810C}"/>
    <hyperlink ref="K58" r:id="rId44" xr:uid="{981DD823-C80A-4CFE-9DB8-CCCB4E5D4E7E}"/>
    <hyperlink ref="K59" r:id="rId45" xr:uid="{1AE26305-2FFC-4A0A-883E-ACE3C1CDA2E1}"/>
    <hyperlink ref="K60" r:id="rId46" xr:uid="{E04E4819-A29E-4DE2-801A-19D1A50DFA25}"/>
    <hyperlink ref="K63" r:id="rId47" xr:uid="{E0A208F4-8102-46C6-A8BA-6197631A4279}"/>
    <hyperlink ref="K64" r:id="rId48" xr:uid="{EF6F2C47-18A7-4BDA-9669-D108781A05E4}"/>
    <hyperlink ref="K65" r:id="rId49" xr:uid="{C2C96E59-C530-4B51-9224-F5038F38EC0E}"/>
    <hyperlink ref="K66" r:id="rId50" xr:uid="{C46AB400-C6DE-40C1-AF7E-C2028AF9FE20}"/>
    <hyperlink ref="K67" r:id="rId51" xr:uid="{1735FC4E-91FE-4667-B45C-2F0D0CC57DC8}"/>
    <hyperlink ref="K68" r:id="rId52" xr:uid="{05A8EE20-E36D-4387-B456-F90FE1E52B37}"/>
    <hyperlink ref="K69" r:id="rId53" xr:uid="{54F22F59-D9E1-4DF1-8451-75D78CF6A7A2}"/>
    <hyperlink ref="K70" r:id="rId54" xr:uid="{E9E2597E-061D-4270-99DF-034495756F13}"/>
    <hyperlink ref="K71" r:id="rId55" xr:uid="{A39B494A-7208-46E0-94D4-0077BE370371}"/>
    <hyperlink ref="K72" r:id="rId56" xr:uid="{89E911E2-2C0D-4FF2-B081-C556F1B08C2D}"/>
    <hyperlink ref="K73" r:id="rId57" xr:uid="{85C043C8-A06B-4647-861A-7FB5D8126707}"/>
    <hyperlink ref="C74" r:id="rId58" display="https://www.deutsche-kinemathek.de/de/kinemathek/jobs" xr:uid="{1F51612A-EEC7-4D3B-A1B5-652B736918A2}"/>
    <hyperlink ref="K74" r:id="rId59" xr:uid="{5FC95D1E-8421-4D3B-ADCA-D3D2A6BA0B7C}"/>
    <hyperlink ref="K75" r:id="rId60" xr:uid="{5AF68E02-176F-4782-88BC-D290E76946D4}"/>
    <hyperlink ref="K76" r:id="rId61" xr:uid="{CB83CC9B-0EB8-4C4F-8845-19C29621BC35}"/>
    <hyperlink ref="K77" r:id="rId62" xr:uid="{006D41D0-DFE1-4010-A84F-A8405F91DCD5}"/>
    <hyperlink ref="K78" r:id="rId63" xr:uid="{F387BC75-C508-4BBA-A5A9-E8901AF55E46}"/>
    <hyperlink ref="K79" r:id="rId64" xr:uid="{EEAADF28-0780-4E85-A66D-CEDBF6A8C5E5}"/>
    <hyperlink ref="K80" r:id="rId65" xr:uid="{A2D4A571-0D24-4E3E-81C7-D76D76BB4AAA}"/>
    <hyperlink ref="K81" r:id="rId66" xr:uid="{58338482-2FA4-48CB-B7F5-3E756DCC4D93}"/>
    <hyperlink ref="K82" r:id="rId67" xr:uid="{7C918926-E56D-4FCC-B163-17C421B2E138}"/>
    <hyperlink ref="K83" r:id="rId68" xr:uid="{37E71D4C-4006-41AE-9C97-8D526931AB07}"/>
    <hyperlink ref="K84" r:id="rId69" xr:uid="{FF19C9A2-12A1-4DCC-9588-6746E8044781}"/>
    <hyperlink ref="K89" r:id="rId70" xr:uid="{E022EFB2-741B-41FD-9182-93C6DF15BFFD}"/>
    <hyperlink ref="K90" r:id="rId71" display="https://www.kultweet.de/jobs/KjdF_Leitung_Foerderung.pdf" xr:uid="{70E36BDE-87C0-4E53-8D7F-80112873CAC1}"/>
    <hyperlink ref="K91" r:id="rId72" xr:uid="{058068F8-82B4-40F6-B8AF-B88130A53060}"/>
    <hyperlink ref="K92" r:id="rId73" xr:uid="{059AE5A6-6638-4E8A-AE94-34F2B401BE69}"/>
    <hyperlink ref="K93" r:id="rId74" xr:uid="{55442532-6288-4176-876E-257CBA1AB304}"/>
    <hyperlink ref="K94" r:id="rId75" display="https://www.theater-magdeburg.de/kontakt-infos/jobs/pressereferentin-wmd/" xr:uid="{4E5A4ACB-9221-4979-978D-9D880F6CAC84}"/>
    <hyperlink ref="K95" r:id="rId76" xr:uid="{F5C33682-B99F-40BA-B49B-58FBBD03BB39}"/>
    <hyperlink ref="K96" r:id="rId77" xr:uid="{1A230C7B-0384-4ADB-BFAA-85A20AFCD0AC}"/>
    <hyperlink ref="K97" r:id="rId78" xr:uid="{E60D4900-7B6F-4329-853F-2BDA2822F680}"/>
    <hyperlink ref="K98" r:id="rId79" location="position,id=3e5ebfb2-e066-427b-b0ac-374317b3d43b,popup=y" xr:uid="{FA852FF7-E2B9-4B47-9BBA-910CE577CAA0}"/>
    <hyperlink ref="K99" r:id="rId80" xr:uid="{BBD589CB-9507-412E-A5DF-99000A241DB7}"/>
    <hyperlink ref="K100" r:id="rId81" xr:uid="{174826C8-8D85-4C02-8714-CAF24EBC34B3}"/>
    <hyperlink ref="K101" r:id="rId82" xr:uid="{4063C57F-A657-4D4B-B5FE-DE639FB43CC9}"/>
    <hyperlink ref="K102" r:id="rId83" xr:uid="{D4B53B27-44DB-4940-A8CC-661912A43AC6}"/>
    <hyperlink ref="K103" r:id="rId84" xr:uid="{470BA30C-83EB-4F79-B132-5066CF6BF4EE}"/>
    <hyperlink ref="K86" r:id="rId85" xr:uid="{DDDC9CCB-8636-4504-8AA1-48B6012BA15C}"/>
    <hyperlink ref="K104" r:id="rId86" xr:uid="{273C4D3F-7718-419F-844F-1E513438786B}"/>
    <hyperlink ref="K105" r:id="rId87" xr:uid="{848BC29F-C35B-47E9-A140-30BBD5393116}"/>
    <hyperlink ref="C106" r:id="rId88" display="Kustode (m/w/d) Graphische Sammlungen Bauhaus, Moderne, Gegenwart (1860 bis heute) (Weimar)" xr:uid="{C1E43CD2-96FA-4524-85CF-1076629DD2D5}"/>
    <hyperlink ref="K106" r:id="rId89" xr:uid="{CC9E0E67-5822-4B07-A83E-8932FC17982D}"/>
    <hyperlink ref="K112" r:id="rId90" xr:uid="{8F651BD7-3651-492C-A87A-9AD786C78072}"/>
    <hyperlink ref="K113" r:id="rId91" xr:uid="{3943713B-0C89-435C-8086-0B1DE4945358}"/>
    <hyperlink ref="K114" r:id="rId92" xr:uid="{7634326D-46BB-4967-B8FB-56D11F83E741}"/>
    <hyperlink ref="K115" r:id="rId93" xr:uid="{DF7BC453-A98E-475E-B202-C2B08546302C}"/>
    <hyperlink ref="K116" r:id="rId94" xr:uid="{F396EC62-FF80-454F-A5F5-B2415EB44B48}"/>
    <hyperlink ref="K117" r:id="rId95" xr:uid="{B16AFD65-D4D0-4392-9DE9-F16A9F543BD0}"/>
    <hyperlink ref="K118" r:id="rId96" xr:uid="{9B925395-CC46-4EA5-AB44-9923E348FF53}"/>
    <hyperlink ref="K119" r:id="rId97" xr:uid="{84731EE4-ADF0-4CA5-9785-915F92D89312}"/>
    <hyperlink ref="K120" r:id="rId98" xr:uid="{1D977A1B-138B-4CC0-8373-718FDE7C8C6D}"/>
    <hyperlink ref="K121" r:id="rId99" xr:uid="{D25C3674-F529-42EB-8126-CAA920BB26AD}"/>
    <hyperlink ref="K122" r:id="rId100" xr:uid="{73CD8608-0CE5-4ABB-BFD7-C85F26CC5E63}"/>
    <hyperlink ref="K123" r:id="rId101" xr:uid="{E438D141-A5C8-4BAF-8CCA-ED009A3060FE}"/>
    <hyperlink ref="K124" r:id="rId102" xr:uid="{4E5A52AF-625F-4E88-B94A-5070E50E17E6}"/>
    <hyperlink ref="K125" r:id="rId103" xr:uid="{618A7C2E-73A6-49E2-B8AE-75445466449E}"/>
    <hyperlink ref="K126" r:id="rId104" xr:uid="{B4980CD8-6A7E-4C01-BB9A-282BCEBB0E31}"/>
    <hyperlink ref="K127" r:id="rId105" xr:uid="{C2035DB4-7CAC-493C-8920-51AEA1FC75B8}"/>
    <hyperlink ref="K128" r:id="rId106" xr:uid="{14098E86-842A-40DB-B104-EAE7753870E6}"/>
    <hyperlink ref="K129" r:id="rId107" xr:uid="{6144341A-19C3-4DE3-872F-5E089174222A}"/>
    <hyperlink ref="K130" r:id="rId108" xr:uid="{FE23AC9D-4473-4AB1-A100-9B0440BFF9A2}"/>
    <hyperlink ref="K131" r:id="rId109" xr:uid="{69D54159-0949-4F80-B60F-3664322A4AEB}"/>
    <hyperlink ref="K132" r:id="rId110" xr:uid="{132FCE98-072A-44FA-9185-B18CEC4DA981}"/>
    <hyperlink ref="K133" r:id="rId111" xr:uid="{A4BFBB01-FBF5-41E8-B0B8-3D8302A65ED1}"/>
    <hyperlink ref="K134" r:id="rId112" xr:uid="{2F2391F7-8229-466D-B50A-06BC79CF3CAE}"/>
    <hyperlink ref="K135" r:id="rId113" xr:uid="{9E3412C7-3E0B-4D48-A2B2-69C8C4C0BBFC}"/>
    <hyperlink ref="K136" r:id="rId114" xr:uid="{0DF0DE0C-1F92-455E-BDEF-4DE611E98C51}"/>
    <hyperlink ref="K137" r:id="rId115" xr:uid="{B7091224-00F3-4B2F-9998-A1A44254D3F1}"/>
    <hyperlink ref="K138" r:id="rId116" xr:uid="{4359C86B-99CF-4B4C-9F42-9E9A44178562}"/>
    <hyperlink ref="K139" r:id="rId117" xr:uid="{E3B8C8A4-9B59-4D5A-A2FC-69303F3AFFB0}"/>
    <hyperlink ref="K140" r:id="rId118" xr:uid="{05743879-42BB-47B8-9D2C-B43F36401228}"/>
    <hyperlink ref="K141" r:id="rId119" xr:uid="{3E2A7492-CAB5-49ED-BC4E-5258A58B2C50}"/>
    <hyperlink ref="K142" r:id="rId120" xr:uid="{AEC07C19-224F-4D18-9D92-828C0A15AC05}"/>
    <hyperlink ref="K146" r:id="rId121" xr:uid="{AA40EA1E-DEC3-4FE9-920C-004F28383D58}"/>
    <hyperlink ref="K143" r:id="rId122" xr:uid="{45FC0420-394A-42BC-9F29-65898CBB763B}"/>
    <hyperlink ref="K144" r:id="rId123" xr:uid="{72804BB0-9DBE-4DD3-A11E-01149201E6AE}"/>
    <hyperlink ref="K145" r:id="rId124" xr:uid="{1152D76E-7470-4B54-BDCC-AC69CFA84D5D}"/>
    <hyperlink ref="K147" r:id="rId125" xr:uid="{85C758D5-75C4-4433-8EED-3601B33082AB}"/>
  </hyperlinks>
  <pageMargins left="0.7" right="0.7" top="0.78740157499999996" bottom="0.78740157499999996" header="0.3" footer="0.3"/>
  <pageSetup paperSize="8" fitToHeight="0" orientation="landscape" r:id="rId126"/>
  <tableParts count="1">
    <tablePart r:id="rId12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A4872C4-6E46-4CEE-BC56-56CDF68373BA}">
          <x14:formula1>
            <xm:f>Formeln!$A$2:$A$10</xm:f>
          </x14:formula1>
          <xm:sqref>B2</xm:sqref>
        </x14:dataValidation>
        <x14:dataValidation type="list" allowBlank="1" showInputMessage="1" showErrorMessage="1" xr:uid="{3FB314F3-F043-41B5-A7B3-C672B09CAB96}">
          <x14:formula1>
            <xm:f>Formeln!$A$2:$A$12</xm:f>
          </x14:formula1>
          <xm:sqref>B4 B6 B10 B12 B14:B15 B18 B22:B24 B39:B56 B209:B364 B130 B58:B111 B113</xm:sqref>
        </x14:dataValidation>
        <x14:dataValidation type="list" allowBlank="1" showInputMessage="1" showErrorMessage="1" xr:uid="{D9B6598C-69B9-4DF9-BA75-C288BEF74C6A}">
          <x14:formula1>
            <xm:f>Formeln!$A$2:$A$13</xm:f>
          </x14:formula1>
          <xm:sqref>B3 B5 B7:B9 B11 B13 B16:B17 B25:B38 B19:B21</xm:sqref>
        </x14:dataValidation>
        <x14:dataValidation type="list" allowBlank="1" showInputMessage="1" showErrorMessage="1" xr:uid="{BEC6D416-E05C-4B68-BFF2-898BA28835EA}">
          <x14:formula1>
            <xm:f>Formeln!$A$2:$A$14</xm:f>
          </x14:formula1>
          <xm:sqref>B114:B129 B112 B131:B208</xm:sqref>
        </x14:dataValidation>
        <x14:dataValidation type="list" allowBlank="1" showInputMessage="1" showErrorMessage="1" xr:uid="{BFBA48AE-F5B8-462F-BA02-67261FCEEAEC}">
          <x14:formula1>
            <xm:f>Formeln!$B$2:$B$5</xm:f>
          </x14:formula1>
          <xm:sqref>A2:A303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419A-E447-4571-B94D-A7D94985EFAF}">
  <dimension ref="A1:G30"/>
  <sheetViews>
    <sheetView tabSelected="1" workbookViewId="0">
      <selection activeCell="D8" sqref="D8"/>
    </sheetView>
  </sheetViews>
  <sheetFormatPr baseColWidth="10" defaultColWidth="11.46484375" defaultRowHeight="14.25"/>
  <cols>
    <col min="1" max="1" width="11.46484375" customWidth="1"/>
    <col min="2" max="2" width="32.6640625" bestFit="1" customWidth="1"/>
    <col min="3" max="3" width="24.6640625" customWidth="1"/>
    <col min="4" max="4" width="46.1328125" bestFit="1" customWidth="1"/>
    <col min="5" max="5" width="18.6640625" customWidth="1"/>
    <col min="6" max="6" width="13.46484375" customWidth="1"/>
    <col min="7" max="7" width="20" customWidth="1"/>
  </cols>
  <sheetData>
    <row r="1" spans="1:7" ht="35.25">
      <c r="A1" s="158" t="s">
        <v>613</v>
      </c>
      <c r="B1" s="158" t="s">
        <v>614</v>
      </c>
      <c r="C1" s="158" t="s">
        <v>615</v>
      </c>
      <c r="D1" s="159" t="s">
        <v>616</v>
      </c>
      <c r="E1" s="160" t="s">
        <v>1</v>
      </c>
      <c r="F1" s="159" t="s">
        <v>617</v>
      </c>
      <c r="G1" s="159" t="s">
        <v>618</v>
      </c>
    </row>
    <row r="2" spans="1:7" ht="22.15">
      <c r="A2" s="73">
        <v>3</v>
      </c>
      <c r="B2" s="78" t="s">
        <v>619</v>
      </c>
      <c r="C2" s="75" t="s">
        <v>620</v>
      </c>
      <c r="D2" s="76" t="s">
        <v>621</v>
      </c>
      <c r="E2" s="79" t="s">
        <v>566</v>
      </c>
      <c r="F2" s="77" t="s">
        <v>622</v>
      </c>
      <c r="G2" s="77" t="s">
        <v>623</v>
      </c>
    </row>
    <row r="3" spans="1:7" ht="40.5">
      <c r="A3" s="80">
        <v>1</v>
      </c>
      <c r="B3" s="81" t="s">
        <v>624</v>
      </c>
      <c r="C3" s="75" t="s">
        <v>625</v>
      </c>
      <c r="D3" s="161" t="s">
        <v>626</v>
      </c>
      <c r="E3" s="83" t="s">
        <v>32</v>
      </c>
      <c r="F3" s="77" t="s">
        <v>627</v>
      </c>
      <c r="G3" s="77" t="s">
        <v>623</v>
      </c>
    </row>
    <row r="4" spans="1:7" ht="22.15">
      <c r="A4" s="80">
        <v>2</v>
      </c>
      <c r="B4" s="78" t="s">
        <v>628</v>
      </c>
      <c r="C4" s="75" t="s">
        <v>629</v>
      </c>
      <c r="D4" s="84" t="s">
        <v>630</v>
      </c>
      <c r="E4" s="85" t="s">
        <v>32</v>
      </c>
      <c r="F4" s="77" t="s">
        <v>622</v>
      </c>
      <c r="G4" s="77" t="s">
        <v>623</v>
      </c>
    </row>
    <row r="5" spans="1:7" ht="27">
      <c r="A5" s="73">
        <v>1</v>
      </c>
      <c r="B5" s="74" t="s">
        <v>631</v>
      </c>
      <c r="C5" s="75" t="s">
        <v>632</v>
      </c>
      <c r="D5" s="86" t="s">
        <v>633</v>
      </c>
      <c r="E5" s="79" t="s">
        <v>55</v>
      </c>
      <c r="F5" s="77" t="s">
        <v>622</v>
      </c>
      <c r="G5" s="77"/>
    </row>
    <row r="6" spans="1:7" ht="40.5">
      <c r="A6" s="73">
        <v>2</v>
      </c>
      <c r="B6" s="81" t="s">
        <v>634</v>
      </c>
      <c r="C6" s="75" t="s">
        <v>635</v>
      </c>
      <c r="D6" s="161" t="s">
        <v>636</v>
      </c>
      <c r="E6" s="79" t="s">
        <v>55</v>
      </c>
      <c r="F6" s="77" t="s">
        <v>627</v>
      </c>
      <c r="G6" s="77" t="s">
        <v>623</v>
      </c>
    </row>
    <row r="7" spans="1:7" ht="27">
      <c r="A7" s="73">
        <v>3</v>
      </c>
      <c r="B7" s="78" t="s">
        <v>637</v>
      </c>
      <c r="C7" s="75" t="s">
        <v>638</v>
      </c>
      <c r="D7" s="76" t="s">
        <v>639</v>
      </c>
      <c r="E7" s="79" t="s">
        <v>55</v>
      </c>
      <c r="F7" s="77" t="s">
        <v>622</v>
      </c>
      <c r="G7" s="77"/>
    </row>
    <row r="8" spans="1:7" ht="35.25">
      <c r="A8" s="80">
        <v>1</v>
      </c>
      <c r="B8" s="78" t="s">
        <v>640</v>
      </c>
      <c r="C8" s="75" t="s">
        <v>641</v>
      </c>
      <c r="D8" s="76" t="s">
        <v>642</v>
      </c>
      <c r="E8" s="83" t="s">
        <v>96</v>
      </c>
      <c r="F8" s="77" t="s">
        <v>622</v>
      </c>
      <c r="G8" s="77"/>
    </row>
    <row r="9" spans="1:7" ht="35.25">
      <c r="A9" s="80">
        <v>2</v>
      </c>
      <c r="B9" s="74" t="s">
        <v>643</v>
      </c>
      <c r="C9" s="75" t="s">
        <v>644</v>
      </c>
      <c r="D9" s="76" t="s">
        <v>645</v>
      </c>
      <c r="E9" s="83" t="s">
        <v>96</v>
      </c>
      <c r="F9" s="77" t="s">
        <v>627</v>
      </c>
      <c r="G9" s="77" t="s">
        <v>623</v>
      </c>
    </row>
    <row r="10" spans="1:7" ht="22.15">
      <c r="A10" s="80">
        <v>3</v>
      </c>
      <c r="B10" s="78" t="s">
        <v>646</v>
      </c>
      <c r="C10" s="75" t="s">
        <v>647</v>
      </c>
      <c r="D10" s="76" t="s">
        <v>648</v>
      </c>
      <c r="E10" s="87" t="s">
        <v>96</v>
      </c>
      <c r="F10" s="77" t="s">
        <v>622</v>
      </c>
      <c r="G10" s="77"/>
    </row>
    <row r="11" spans="1:7" ht="22.15">
      <c r="A11" s="80">
        <v>4</v>
      </c>
      <c r="B11" s="74" t="s">
        <v>649</v>
      </c>
      <c r="C11" s="75" t="s">
        <v>647</v>
      </c>
      <c r="D11" s="76" t="s">
        <v>650</v>
      </c>
      <c r="E11" s="87" t="s">
        <v>96</v>
      </c>
      <c r="F11" s="77" t="s">
        <v>622</v>
      </c>
      <c r="G11" s="77"/>
    </row>
    <row r="12" spans="1:7" ht="22.15">
      <c r="A12" s="73">
        <v>1</v>
      </c>
      <c r="B12" s="81" t="s">
        <v>651</v>
      </c>
      <c r="C12" s="75" t="s">
        <v>652</v>
      </c>
      <c r="D12" s="84" t="s">
        <v>653</v>
      </c>
      <c r="E12" s="79" t="s">
        <v>463</v>
      </c>
      <c r="F12" s="77" t="s">
        <v>622</v>
      </c>
      <c r="G12" s="77"/>
    </row>
    <row r="13" spans="1:7" ht="35.25">
      <c r="A13" s="73">
        <v>2</v>
      </c>
      <c r="B13" s="78" t="s">
        <v>654</v>
      </c>
      <c r="C13" s="75" t="s">
        <v>655</v>
      </c>
      <c r="D13" s="76" t="s">
        <v>656</v>
      </c>
      <c r="E13" s="79" t="s">
        <v>463</v>
      </c>
      <c r="F13" s="77" t="s">
        <v>622</v>
      </c>
      <c r="G13" s="77"/>
    </row>
    <row r="14" spans="1:7" ht="22.15">
      <c r="A14" s="73">
        <v>3</v>
      </c>
      <c r="B14" s="88" t="s">
        <v>657</v>
      </c>
      <c r="C14" s="89" t="s">
        <v>658</v>
      </c>
      <c r="D14" s="90" t="s">
        <v>659</v>
      </c>
      <c r="E14" s="91" t="s">
        <v>463</v>
      </c>
      <c r="F14" s="77" t="s">
        <v>622</v>
      </c>
      <c r="G14" s="92"/>
    </row>
    <row r="15" spans="1:7" ht="27">
      <c r="A15" s="93">
        <v>4</v>
      </c>
      <c r="B15" s="74" t="s">
        <v>660</v>
      </c>
      <c r="C15" s="75" t="s">
        <v>661</v>
      </c>
      <c r="D15" s="82" t="s">
        <v>662</v>
      </c>
      <c r="E15" s="91" t="s">
        <v>463</v>
      </c>
      <c r="F15" s="77" t="s">
        <v>622</v>
      </c>
      <c r="G15" s="77"/>
    </row>
    <row r="16" spans="1:7" ht="22.15">
      <c r="A16" s="80">
        <v>1</v>
      </c>
      <c r="B16" s="74" t="s">
        <v>663</v>
      </c>
      <c r="C16" s="75" t="s">
        <v>664</v>
      </c>
      <c r="D16" s="75"/>
      <c r="E16" s="83" t="s">
        <v>15</v>
      </c>
      <c r="F16" s="77" t="s">
        <v>622</v>
      </c>
      <c r="G16" s="77"/>
    </row>
    <row r="17" spans="1:7" ht="40.5">
      <c r="A17" s="80">
        <v>2</v>
      </c>
      <c r="B17" s="78" t="s">
        <v>665</v>
      </c>
      <c r="C17" s="75" t="s">
        <v>666</v>
      </c>
      <c r="D17" s="76" t="s">
        <v>667</v>
      </c>
      <c r="E17" s="83" t="s">
        <v>15</v>
      </c>
      <c r="F17" s="77" t="s">
        <v>622</v>
      </c>
      <c r="G17" s="77"/>
    </row>
    <row r="18" spans="1:7" ht="27">
      <c r="A18" s="80">
        <v>3</v>
      </c>
      <c r="B18" s="78" t="s">
        <v>668</v>
      </c>
      <c r="C18" s="75" t="s">
        <v>669</v>
      </c>
      <c r="D18" s="76" t="s">
        <v>670</v>
      </c>
      <c r="E18" s="87" t="s">
        <v>15</v>
      </c>
      <c r="F18" s="77" t="s">
        <v>622</v>
      </c>
      <c r="G18" s="77"/>
    </row>
    <row r="19" spans="1:7" ht="46.25" customHeight="1">
      <c r="A19" s="80">
        <v>4</v>
      </c>
      <c r="B19" s="78" t="s">
        <v>671</v>
      </c>
      <c r="C19" s="75" t="s">
        <v>672</v>
      </c>
      <c r="D19" s="76" t="s">
        <v>673</v>
      </c>
      <c r="E19" s="87" t="s">
        <v>15</v>
      </c>
      <c r="F19" s="77" t="s">
        <v>622</v>
      </c>
      <c r="G19" s="77"/>
    </row>
    <row r="20" spans="1:7" ht="52.9">
      <c r="A20" s="80">
        <v>5</v>
      </c>
      <c r="B20" s="78" t="s">
        <v>674</v>
      </c>
      <c r="C20" s="75" t="s">
        <v>675</v>
      </c>
      <c r="D20" s="76" t="s">
        <v>676</v>
      </c>
      <c r="E20" s="87" t="s">
        <v>15</v>
      </c>
      <c r="F20" s="77" t="s">
        <v>622</v>
      </c>
      <c r="G20" s="77"/>
    </row>
    <row r="21" spans="1:7" ht="27">
      <c r="A21" s="73">
        <v>1</v>
      </c>
      <c r="B21" s="81" t="s">
        <v>677</v>
      </c>
      <c r="C21" s="75" t="s">
        <v>664</v>
      </c>
      <c r="D21" s="76" t="s">
        <v>678</v>
      </c>
      <c r="E21" s="94" t="s">
        <v>169</v>
      </c>
      <c r="F21" s="77" t="s">
        <v>622</v>
      </c>
      <c r="G21" s="77"/>
    </row>
    <row r="22" spans="1:7" ht="22.15">
      <c r="A22" s="73">
        <v>2</v>
      </c>
      <c r="B22" s="74" t="s">
        <v>679</v>
      </c>
      <c r="C22" s="75" t="s">
        <v>680</v>
      </c>
      <c r="D22" s="76" t="s">
        <v>681</v>
      </c>
      <c r="E22" s="94" t="s">
        <v>169</v>
      </c>
      <c r="F22" s="77" t="s">
        <v>622</v>
      </c>
      <c r="G22" s="77"/>
    </row>
    <row r="23" spans="1:7" ht="35.25">
      <c r="A23" s="73">
        <v>3</v>
      </c>
      <c r="B23" s="78" t="s">
        <v>682</v>
      </c>
      <c r="C23" s="75" t="s">
        <v>683</v>
      </c>
      <c r="D23" s="76" t="s">
        <v>684</v>
      </c>
      <c r="E23" s="94" t="s">
        <v>169</v>
      </c>
      <c r="F23" s="77" t="s">
        <v>622</v>
      </c>
      <c r="G23" s="77"/>
    </row>
    <row r="24" spans="1:7" ht="27">
      <c r="A24" s="73">
        <v>4</v>
      </c>
      <c r="B24" s="78" t="s">
        <v>685</v>
      </c>
      <c r="C24" s="75" t="s">
        <v>686</v>
      </c>
      <c r="D24" s="95" t="s">
        <v>687</v>
      </c>
      <c r="E24" s="94" t="s">
        <v>169</v>
      </c>
      <c r="F24" s="77" t="s">
        <v>622</v>
      </c>
      <c r="G24" s="77" t="s">
        <v>623</v>
      </c>
    </row>
    <row r="25" spans="1:7" ht="40.5">
      <c r="A25" s="80">
        <v>1</v>
      </c>
      <c r="B25" s="78" t="s">
        <v>688</v>
      </c>
      <c r="C25" s="75" t="s">
        <v>689</v>
      </c>
      <c r="D25" s="76" t="s">
        <v>690</v>
      </c>
      <c r="E25" s="87" t="s">
        <v>691</v>
      </c>
      <c r="F25" s="77" t="s">
        <v>622</v>
      </c>
      <c r="G25" s="77"/>
    </row>
    <row r="26" spans="1:7" ht="69.75" customHeight="1">
      <c r="A26" s="80">
        <v>2</v>
      </c>
      <c r="B26" s="78" t="s">
        <v>692</v>
      </c>
      <c r="C26" s="75" t="s">
        <v>620</v>
      </c>
      <c r="D26" s="82" t="s">
        <v>693</v>
      </c>
      <c r="E26" s="87" t="s">
        <v>691</v>
      </c>
      <c r="F26" s="77" t="s">
        <v>622</v>
      </c>
      <c r="G26" s="77"/>
    </row>
    <row r="27" spans="1:7" ht="27">
      <c r="A27" s="73">
        <v>1</v>
      </c>
      <c r="B27" s="74" t="s">
        <v>694</v>
      </c>
      <c r="C27" s="75" t="s">
        <v>695</v>
      </c>
      <c r="D27" s="161" t="s">
        <v>696</v>
      </c>
      <c r="E27" s="156" t="s">
        <v>691</v>
      </c>
      <c r="F27" s="77" t="s">
        <v>622</v>
      </c>
      <c r="G27" s="77" t="s">
        <v>623</v>
      </c>
    </row>
    <row r="28" spans="1:7" ht="52.9">
      <c r="A28" s="73">
        <v>2</v>
      </c>
      <c r="B28" s="78" t="s">
        <v>697</v>
      </c>
      <c r="C28" s="75" t="s">
        <v>698</v>
      </c>
      <c r="D28" s="76" t="s">
        <v>699</v>
      </c>
      <c r="E28" s="156" t="s">
        <v>691</v>
      </c>
      <c r="F28" s="77" t="s">
        <v>622</v>
      </c>
      <c r="G28" s="77" t="s">
        <v>623</v>
      </c>
    </row>
    <row r="29" spans="1:7" ht="54" customHeight="1">
      <c r="B29" s="78" t="s">
        <v>700</v>
      </c>
      <c r="C29" t="s">
        <v>680</v>
      </c>
      <c r="D29" s="33" t="s">
        <v>701</v>
      </c>
      <c r="E29" s="87" t="s">
        <v>126</v>
      </c>
      <c r="F29" s="77" t="s">
        <v>622</v>
      </c>
      <c r="G29" s="77"/>
    </row>
    <row r="30" spans="1:7" ht="35.25">
      <c r="B30" s="78" t="s">
        <v>702</v>
      </c>
      <c r="C30" t="s">
        <v>680</v>
      </c>
      <c r="D30" s="33" t="s">
        <v>703</v>
      </c>
      <c r="E30" s="87" t="s">
        <v>126</v>
      </c>
      <c r="F30" s="77" t="s">
        <v>622</v>
      </c>
      <c r="G30" s="77"/>
    </row>
  </sheetData>
  <hyperlinks>
    <hyperlink ref="D30" r:id="rId1" xr:uid="{0CB287F1-2C34-4C40-BC66-D887DF47E5CB}"/>
    <hyperlink ref="D29" r:id="rId2" xr:uid="{67847D3E-B594-4CDB-A4D4-1E49D13132E9}"/>
    <hyperlink ref="D15" r:id="rId3" xr:uid="{55274ADA-0E56-4BF4-A22C-EA2CCDA937F4}"/>
    <hyperlink ref="D26" r:id="rId4" xr:uid="{479AEF3A-E4D3-4875-9072-05F3C8619DBC}"/>
    <hyperlink ref="D24" r:id="rId5" display="https://gesinesjobtipps.de/freie-stelle-eintragen/" xr:uid="{F7A28302-F63F-477B-AEF5-914BB46C4CF6}"/>
    <hyperlink ref="D23" r:id="rId6" xr:uid="{9B6D330E-8043-4BEC-A09F-709C7DDC01A8}"/>
    <hyperlink ref="D14" r:id="rId7" xr:uid="{754094D6-5D3A-4A0F-815A-3F05E65D1A65}"/>
    <hyperlink ref="D11" r:id="rId8" xr:uid="{7B23A187-6AB1-4F52-929A-B4404FC3533A}"/>
    <hyperlink ref="D28" r:id="rId9" xr:uid="{FC60134B-5D8E-44B9-B20F-95EFBBF061A5}"/>
    <hyperlink ref="D6" r:id="rId10" xr:uid="{A6650DD5-8321-4EAF-9CA1-DB1F716FA7B6}"/>
    <hyperlink ref="D22" r:id="rId11" xr:uid="{BDF28D35-7B10-4CE3-8939-929D05975358}"/>
    <hyperlink ref="D21" r:id="rId12" xr:uid="{C46D98E0-9B9D-4F0C-83BE-97E8A4D13379}"/>
    <hyperlink ref="D9" r:id="rId13" xr:uid="{7B56A947-12E0-44C2-8928-ACEB40C94B69}"/>
    <hyperlink ref="D4" r:id="rId14" xr:uid="{05AA95CA-A0B1-4704-9787-D3F9CC59EB2B}"/>
    <hyperlink ref="D27" r:id="rId15" xr:uid="{AB001513-0509-4F7A-81FD-3CF70209A634}"/>
    <hyperlink ref="D2" r:id="rId16" xr:uid="{85B9A993-6DAE-4C8D-9EE7-32E22AD993AF}"/>
    <hyperlink ref="D5" r:id="rId17" xr:uid="{3EC8F196-E397-4769-AE28-8279907C0549}"/>
    <hyperlink ref="D8" r:id="rId18" xr:uid="{4D573BC5-E856-43DC-A3B8-14A34D5C3A3E}"/>
    <hyperlink ref="D10" r:id="rId19" xr:uid="{86CEA3F6-64D4-45D4-B242-A6AB200031B6}"/>
    <hyperlink ref="D7" r:id="rId20" xr:uid="{C505B11D-EDB6-4194-82FB-075C35EFE8AE}"/>
    <hyperlink ref="D18" r:id="rId21" xr:uid="{306F38A3-8733-44EB-B08E-A7FAA37B8D3D}"/>
    <hyperlink ref="D13" r:id="rId22" xr:uid="{08ED65B8-639B-4B66-98CB-3C77A98A649D}"/>
    <hyperlink ref="D17" r:id="rId23" xr:uid="{795408F1-DFAD-4E1C-B580-4CC075AA015D}"/>
    <hyperlink ref="D25" r:id="rId24" xr:uid="{71B1CEF3-E876-4D05-B1C7-BD8AAB536DC4}"/>
    <hyperlink ref="D20" r:id="rId25" xr:uid="{282C3C5B-285D-43F1-86FE-A65270247A6C}"/>
    <hyperlink ref="D3" r:id="rId26" xr:uid="{A6E8C107-ABC0-4B6E-8F60-27F134BDE870}"/>
  </hyperlinks>
  <pageMargins left="0.7" right="0.7" top="0.78740157499999996" bottom="0.78740157499999996" header="0.3" footer="0.3"/>
  <tableParts count="1">
    <tablePart r:id="rId2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5A71-58E3-4941-82C3-CAF0BB799394}">
  <dimension ref="A1:J14"/>
  <sheetViews>
    <sheetView workbookViewId="0">
      <selection activeCell="G22" sqref="G22"/>
    </sheetView>
  </sheetViews>
  <sheetFormatPr baseColWidth="10" defaultColWidth="11.46484375" defaultRowHeight="14.25"/>
  <cols>
    <col min="1" max="1" width="14.86328125" customWidth="1"/>
    <col min="3" max="3" width="20.46484375" bestFit="1" customWidth="1"/>
  </cols>
  <sheetData>
    <row r="1" spans="1:10">
      <c r="A1" t="s">
        <v>704</v>
      </c>
      <c r="B1" t="s">
        <v>705</v>
      </c>
      <c r="C1" t="s">
        <v>706</v>
      </c>
    </row>
    <row r="2" spans="1:10">
      <c r="A2" t="s">
        <v>707</v>
      </c>
      <c r="B2" t="s">
        <v>708</v>
      </c>
      <c r="C2" t="s">
        <v>709</v>
      </c>
    </row>
    <row r="3" spans="1:10">
      <c r="A3" t="s">
        <v>55</v>
      </c>
      <c r="B3" t="s">
        <v>95</v>
      </c>
      <c r="C3" t="s">
        <v>710</v>
      </c>
    </row>
    <row r="4" spans="1:10">
      <c r="A4" t="s">
        <v>711</v>
      </c>
      <c r="B4" t="s">
        <v>118</v>
      </c>
      <c r="C4" s="35" t="s">
        <v>712</v>
      </c>
    </row>
    <row r="5" spans="1:10">
      <c r="A5" t="s">
        <v>96</v>
      </c>
      <c r="B5" t="s">
        <v>38</v>
      </c>
      <c r="C5" t="s">
        <v>713</v>
      </c>
    </row>
    <row r="6" spans="1:10">
      <c r="A6" t="s">
        <v>15</v>
      </c>
      <c r="B6" t="s">
        <v>714</v>
      </c>
      <c r="C6" t="s">
        <v>715</v>
      </c>
    </row>
    <row r="7" spans="1:10">
      <c r="A7" t="s">
        <v>32</v>
      </c>
      <c r="B7" t="s">
        <v>716</v>
      </c>
      <c r="C7" t="s">
        <v>717</v>
      </c>
    </row>
    <row r="8" spans="1:10">
      <c r="A8" t="s">
        <v>131</v>
      </c>
      <c r="C8" t="s">
        <v>718</v>
      </c>
    </row>
    <row r="9" spans="1:10">
      <c r="A9" t="s">
        <v>169</v>
      </c>
      <c r="C9" t="s">
        <v>719</v>
      </c>
    </row>
    <row r="10" spans="1:10">
      <c r="A10" t="s">
        <v>691</v>
      </c>
      <c r="C10" t="s">
        <v>720</v>
      </c>
      <c r="I10" t="s">
        <v>721</v>
      </c>
      <c r="J10">
        <f>COUNTIF(F:F, "DP")</f>
        <v>0</v>
      </c>
    </row>
    <row r="11" spans="1:10">
      <c r="A11" t="s">
        <v>126</v>
      </c>
      <c r="C11" t="s">
        <v>722</v>
      </c>
    </row>
    <row r="12" spans="1:10">
      <c r="A12" t="s">
        <v>413</v>
      </c>
      <c r="C12" t="s">
        <v>723</v>
      </c>
    </row>
    <row r="13" spans="1:10">
      <c r="A13" t="s">
        <v>566</v>
      </c>
    </row>
    <row r="14" spans="1:10">
      <c r="A14" t="s">
        <v>463</v>
      </c>
    </row>
  </sheetData>
  <sortState xmlns:xlrd2="http://schemas.microsoft.com/office/spreadsheetml/2017/richdata2" ref="A2:A13">
    <sortCondition ref="A13"/>
  </sortState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100B-467E-4CA9-B689-85F488CA2FD3}">
  <dimension ref="A1:J12"/>
  <sheetViews>
    <sheetView workbookViewId="0">
      <selection activeCell="I23" sqref="I23"/>
    </sheetView>
  </sheetViews>
  <sheetFormatPr baseColWidth="10" defaultColWidth="11.46484375" defaultRowHeight="14.25"/>
  <sheetData>
    <row r="1" spans="1:10">
      <c r="A1" s="105" t="s">
        <v>724</v>
      </c>
      <c r="B1" s="98"/>
      <c r="C1" s="98"/>
      <c r="D1" s="98"/>
      <c r="E1" s="98"/>
      <c r="F1" s="98"/>
      <c r="G1" s="98"/>
      <c r="H1" s="98"/>
      <c r="I1" s="98"/>
      <c r="J1" s="99"/>
    </row>
    <row r="2" spans="1:10">
      <c r="A2" s="100" t="s">
        <v>1</v>
      </c>
      <c r="B2" s="97" t="s">
        <v>55</v>
      </c>
      <c r="C2" s="97" t="s">
        <v>96</v>
      </c>
      <c r="D2" s="97" t="s">
        <v>15</v>
      </c>
      <c r="E2" s="97" t="s">
        <v>32</v>
      </c>
      <c r="F2" s="97" t="s">
        <v>169</v>
      </c>
      <c r="G2" s="97" t="s">
        <v>691</v>
      </c>
      <c r="H2" s="97" t="s">
        <v>126</v>
      </c>
      <c r="I2" s="97" t="s">
        <v>566</v>
      </c>
      <c r="J2" s="101" t="s">
        <v>463</v>
      </c>
    </row>
    <row r="3" spans="1:10" ht="14.65" thickBot="1">
      <c r="A3" s="102" t="s">
        <v>725</v>
      </c>
      <c r="B3" s="103">
        <f>COUNTIF('Beobachtung 26'!B:B, "AME")</f>
        <v>6</v>
      </c>
      <c r="C3" s="103">
        <f>COUNTIF('Beobachtung 26'!B:B, "CJ")</f>
        <v>23</v>
      </c>
      <c r="D3" s="103">
        <f>COUNTIF('Beobachtung 26'!B:B, "CK")</f>
        <v>31</v>
      </c>
      <c r="E3" s="103">
        <f>COUNTIF('Beobachtung 26'!B:B, "DM")</f>
        <v>14</v>
      </c>
      <c r="F3" s="103">
        <f>COUNTIF('Beobachtung 26'!B:B, "JK")</f>
        <v>3</v>
      </c>
      <c r="G3" s="103">
        <f>COUNTIF('Beobachtung 26'!B:B, "LH")</f>
        <v>0</v>
      </c>
      <c r="H3" s="103">
        <f>COUNTIF('Beobachtung 26'!B:B, "MR")</f>
        <v>9</v>
      </c>
      <c r="I3" s="103">
        <f>COUNTIF('Beobachtung 26'!B:B, "SBo")</f>
        <v>1</v>
      </c>
      <c r="J3" s="104">
        <f>COUNTIF('Beobachtung 26'!B:B,"FF")</f>
        <v>3</v>
      </c>
    </row>
    <row r="4" spans="1:10" ht="14.65" thickBot="1"/>
    <row r="5" spans="1:10" ht="30.4" thickTop="1">
      <c r="A5" s="48" t="s">
        <v>726</v>
      </c>
      <c r="B5" s="106">
        <f>COUNTIF('Beobachtung 26'!A:A, "DP")</f>
        <v>0</v>
      </c>
      <c r="C5" s="5" t="s">
        <v>727</v>
      </c>
      <c r="D5" s="107">
        <f>COUNTIF('Beobachtung 26'!A:A,"KEX")</f>
        <v>2</v>
      </c>
    </row>
    <row r="6" spans="1:10" ht="30">
      <c r="A6" s="49" t="s">
        <v>728</v>
      </c>
      <c r="B6" s="108">
        <f>COUNTIF('Beobachtung 26'!A:A, "KP")</f>
        <v>7</v>
      </c>
      <c r="C6" s="6" t="s">
        <v>729</v>
      </c>
      <c r="D6" s="109">
        <f>COUNTIF('Beobachtung 26'!A:A,"Nein")</f>
        <v>7</v>
      </c>
    </row>
    <row r="7" spans="1:10" ht="14.65" thickBot="1"/>
    <row r="8" spans="1:10" ht="52.25" customHeight="1">
      <c r="A8" s="181" t="s">
        <v>730</v>
      </c>
      <c r="B8" s="182"/>
      <c r="C8" s="182"/>
      <c r="D8" s="14"/>
      <c r="E8" s="12"/>
      <c r="F8" s="25"/>
      <c r="G8" s="23"/>
      <c r="H8" s="12"/>
      <c r="I8" s="15"/>
      <c r="J8" s="39"/>
    </row>
    <row r="9" spans="1:10">
      <c r="A9" s="17" t="s">
        <v>731</v>
      </c>
      <c r="B9" s="18" t="s">
        <v>732</v>
      </c>
      <c r="C9" s="19" t="s">
        <v>733</v>
      </c>
      <c r="D9" s="20"/>
      <c r="E9" s="12"/>
      <c r="F9" s="25"/>
      <c r="G9" s="23"/>
      <c r="H9" s="12"/>
      <c r="I9" s="21"/>
      <c r="J9" s="39"/>
    </row>
    <row r="12" spans="1:10" ht="20.65">
      <c r="A12" s="183" t="s">
        <v>734</v>
      </c>
      <c r="B12" s="183"/>
      <c r="C12" s="183"/>
      <c r="D12" s="183"/>
      <c r="E12" s="183"/>
      <c r="F12" s="183"/>
      <c r="G12" s="16"/>
    </row>
  </sheetData>
  <mergeCells count="2">
    <mergeCell ref="A8:C8"/>
    <mergeCell ref="A12:F12"/>
  </mergeCells>
  <conditionalFormatting sqref="A8:A9">
    <cfRule type="containsText" dxfId="0" priority="1" operator="containsText" text="Nein">
      <formula>NOT(ISERROR(SEARCH("Nein",A8)))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786DE-8BDC-4461-BB6D-8E79D3F2D415}">
  <dimension ref="A1:C1"/>
  <sheetViews>
    <sheetView workbookViewId="0">
      <selection activeCell="H22" sqref="H22"/>
    </sheetView>
  </sheetViews>
  <sheetFormatPr baseColWidth="10" defaultColWidth="11.46484375" defaultRowHeight="14.25"/>
  <sheetData>
    <row r="1" spans="1:3">
      <c r="A1" t="s">
        <v>735</v>
      </c>
      <c r="B1" t="s">
        <v>736</v>
      </c>
      <c r="C1" t="s">
        <v>737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1A3A7968A2AE54F9C71F370FFB4A0E6" ma:contentTypeVersion="4" ma:contentTypeDescription="Ein neues Dokument erstellen." ma:contentTypeScope="" ma:versionID="8a3067a65e17dac9f8fb7bb9ba350408">
  <xsd:schema xmlns:xsd="http://www.w3.org/2001/XMLSchema" xmlns:xs="http://www.w3.org/2001/XMLSchema" xmlns:p="http://schemas.microsoft.com/office/2006/metadata/properties" xmlns:ns2="235aac8e-d261-4bb7-a2b4-15407fb3e819" targetNamespace="http://schemas.microsoft.com/office/2006/metadata/properties" ma:root="true" ma:fieldsID="8867dc68d286025c62d334328aa070a2" ns2:_="">
    <xsd:import namespace="235aac8e-d261-4bb7-a2b4-15407fb3e8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5aac8e-d261-4bb7-a2b4-15407fb3e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E3815C-22DA-4AA4-9865-2E14C6B87D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5aac8e-d261-4bb7-a2b4-15407fb3e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8EBEFD-A322-432A-B3D1-194D47DD0BE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B65A1D-D4AA-4D5A-9D52-9613C16AC0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Beobachtung 26</vt:lpstr>
      <vt:lpstr>Zuteilung Stellenbörsen</vt:lpstr>
      <vt:lpstr>Formeln</vt:lpstr>
      <vt:lpstr>Tabelle1</vt:lpstr>
      <vt:lpstr>Ausschreibungsfrequenz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Annelen Muschner</dc:creator>
  <cp:keywords/>
  <dc:description/>
  <cp:lastModifiedBy>Brade, Maximilian</cp:lastModifiedBy>
  <cp:revision/>
  <dcterms:created xsi:type="dcterms:W3CDTF">2024-11-06T08:34:35Z</dcterms:created>
  <dcterms:modified xsi:type="dcterms:W3CDTF">2026-06-29T16:33:35Z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0x010100E1A3A7968A2AE54F9C71F370FFB4A0E6</vt:lpwstr>
  </property>
</Properties>
</file>